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1_Dzialy" sheetId="2" state="visible" r:id="rId2"/>
    <sheet xmlns:r="http://schemas.openxmlformats.org/officeDocument/2006/relationships" name="E1_Klienci" sheetId="3" state="visible" r:id="rId3"/>
    <sheet xmlns:r="http://schemas.openxmlformats.org/officeDocument/2006/relationships" name="E2_Pipeline" sheetId="4" state="visible" r:id="rId4"/>
    <sheet xmlns:r="http://schemas.openxmlformats.org/officeDocument/2006/relationships" name="E2_Macierz" sheetId="5" state="visible" r:id="rId5"/>
    <sheet xmlns:r="http://schemas.openxmlformats.org/officeDocument/2006/relationships" name="E2_Opcje_cenowe" sheetId="6" state="visible" r:id="rId6"/>
    <sheet xmlns:r="http://schemas.openxmlformats.org/officeDocument/2006/relationships" name="E3_Scoring" sheetId="7" state="visible" r:id="rId7"/>
    <sheet xmlns:r="http://schemas.openxmlformats.org/officeDocument/2006/relationships" name="E3_HITL" sheetId="8" state="visible" r:id="rId8"/>
    <sheet xmlns:r="http://schemas.openxmlformats.org/officeDocument/2006/relationships" name="E3_Business_case" sheetId="9" state="visible" r:id="rId9"/>
    <sheet xmlns:r="http://schemas.openxmlformats.org/officeDocument/2006/relationships" name="E4_Uwolnione_FTE" sheetId="10" state="visible" r:id="rId10"/>
    <sheet xmlns:r="http://schemas.openxmlformats.org/officeDocument/2006/relationships" name="E4_KPI" sheetId="11" state="visible" r:id="rId11"/>
    <sheet xmlns:r="http://schemas.openxmlformats.org/officeDocument/2006/relationships" name="Rejestr_ryzyk" sheetId="12" state="visible" r:id="rId12"/>
    <sheet xmlns:r="http://schemas.openxmlformats.org/officeDocument/2006/relationships" name="Rejestr_decyzji" sheetId="13" state="visible" r:id="rId13"/>
  </sheets>
  <definedNames>
    <definedName name="Przychod">'Start'!$B$5</definedName>
    <definedName name="Marza">'Start'!$B$6</definedName>
    <definedName name="Pracownicy">'Start'!$B$7</definedName>
    <definedName name="Klienci">'Start'!$B$8</definedName>
    <definedName name="EBIT">'Start'!$B$9</definedName>
    <definedName name="Rabat_1pp">'Start'!$B$13</definedName>
    <definedName name="Prog_SLA_pp">'Start'!$B$22</definedName>
    <definedName name="Prog_rot">'Start'!$B$23</definedName>
    <definedName name="Prog_udz_R">'Start'!$B$24</definedName>
    <definedName name="Prog_udz_Y">'Start'!$B$25</definedName>
    <definedName name="EV_pipeline">'E2_Pipeline'!$D$15</definedName>
    <definedName name="FTE_pipeline">'E2_Pipeline'!$E$15</definedName>
    <definedName name="Kary_SLA">'E2_Opcje_cenowe'!$B$5</definedName>
    <definedName name="Oszczednosc_AI">'E2_Opcje_cenowe'!$B$6</definedName>
    <definedName name="Udzial_klienta">'E2_Opcje_cenowe'!$B$7</definedName>
    <definedName name="Rabat_war">'E2_Opcje_cenowe'!$B$8</definedName>
    <definedName name="Przychod_klienta">'E2_Opcje_cenowe'!$B$9</definedName>
    <definedName name="Przychod_premium">'E2_Opcje_cenowe'!$B$10</definedName>
    <definedName name="Marza_premium">'E2_Opcje_cenowe'!$B$11</definedName>
    <definedName name="Rabat_bezw">'E2_Opcje_cenowe'!$B$12</definedName>
    <definedName name="Marza_pokrycia">'E2_Opcje_cenowe'!$B$13</definedName>
    <definedName name="Granica">'E3_Scoring'!$B$3</definedName>
    <definedName name="n_uzytk">'E3_Business_case'!$B$5</definedName>
    <definedName name="Cena_lic">'E3_Business_case'!$B$6</definedName>
    <definedName name="Licencja_mies">'E3_Business_case'!$B$7</definedName>
    <definedName name="Wdrozenie">'E3_Business_case'!$B$8</definedName>
    <definedName name="Szkol_osoby">'E3_Business_case'!$B$9</definedName>
    <definedName name="Szkol_godz">'E3_Business_case'!$B$10</definedName>
    <definedName name="Koszt_godz">'E3_Business_case'!$B$11</definedName>
    <definedName name="Szkolenia">'E3_Business_case'!$B$12</definedName>
    <definedName name="Koszt_jednoraz">'E3_Business_case'!$B$13</definedName>
    <definedName name="Godz_zaoszcz">'E3_Business_case'!$B$14</definedName>
    <definedName name="FTE_uwolnione">'E3_Business_case'!$B$15</definedName>
    <definedName name="Koszt_etatu">'E3_Business_case'!$B$16</definedName>
    <definedName name="Oszcz_mies">'E3_Business_case'!$B$17</definedName>
    <definedName name="Koszt_calk">'E3_Business_case'!$B$18</definedName>
    <definedName name="Payback_prosty">'E3_Business_case'!$B$19</definedName>
    <definedName name="Payback_netto">'E3_Business_case'!$B$20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6D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2" fontId="0" fillId="3" borderId="1" pivotButton="0" quotePrefix="0" xfId="0"/>
    <xf numFmtId="164" fontId="0" fillId="3" borderId="1" pivotButton="0" quotePrefix="0" xfId="0"/>
    <xf numFmtId="1" fontId="0" fillId="3" borderId="1" pivotButton="0" quotePrefix="0" xfId="0"/>
    <xf numFmtId="2" fontId="0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  <xf numFmtId="1" fontId="0" fillId="4" borderId="1" pivotButton="0" quotePrefix="0" xfId="0"/>
    <xf numFmtId="0" fontId="0" fillId="4" borderId="1" pivotButton="0" quotePrefix="0" xfId="0"/>
    <xf numFmtId="165" fontId="0" fillId="3" borderId="1" pivotButton="0" quotePrefix="0" xfId="0"/>
    <xf numFmtId="9" fontId="0" fillId="3" borderId="1" pivotButton="0" quotePrefix="0" xfId="0"/>
    <xf numFmtId="0" fontId="3" fillId="2" borderId="1" applyAlignment="1" pivotButton="0" quotePrefix="0" xfId="0">
      <alignment vertical="center" wrapText="1"/>
    </xf>
    <xf numFmtId="0" fontId="0" fillId="3" borderId="1" pivotButton="0" quotePrefix="0" xfId="0"/>
    <xf numFmtId="164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2" fontId="0" fillId="4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1" pivotButton="0" quotePrefix="0" xfId="0"/>
    <xf numFmtId="3" fontId="0" fillId="3" borderId="1" pivotButton="0" quotePrefix="0" xfId="0"/>
    <xf numFmtId="3" fontId="0" fillId="4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C7C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B7E1CD"/>
        </patternFill>
      </fill>
    </dxf>
    <dxf>
      <fill>
        <patternFill patternType="solid">
          <fgColor rgb="00CF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zoomScale="11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30" customWidth="1" min="4" max="4"/>
  </cols>
  <sheetData>
    <row r="1">
      <c r="A1" s="1" t="inlineStr">
        <is>
          <t>HELVIA — szablony z playbooka</t>
        </is>
      </c>
    </row>
    <row r="2">
      <c r="A2" s="2" t="inlineStr">
        <is>
          <t>Żółte = do wypełnienia, niebieskie = formuły. Excel jest jedynym źródłem prawdy dla liczb. Pliki robocze: HELVIA_E1_v1.xlsx …</t>
        </is>
      </c>
    </row>
    <row r="4">
      <c r="A4" s="3" t="inlineStr">
        <is>
          <t>Liczby bazowe</t>
        </is>
      </c>
      <c r="B4" s="3" t="inlineStr">
        <is>
          <t>Wartość</t>
        </is>
      </c>
      <c r="C4" s="3" t="inlineStr">
        <is>
          <t>Nazwa</t>
        </is>
      </c>
      <c r="D4" s="3" t="inlineStr">
        <is>
          <t>Wzór / źródło</t>
        </is>
      </c>
    </row>
    <row r="5">
      <c r="A5" s="4" t="inlineStr">
        <is>
          <t>Przychód LTM (mln zł)</t>
        </is>
      </c>
      <c r="B5" s="5" t="n">
        <v>114.93</v>
      </c>
      <c r="C5" s="2" t="inlineStr">
        <is>
          <t>Przychod</t>
        </is>
      </c>
      <c r="D5" s="2" t="inlineStr">
        <is>
          <t>z opisu case'u</t>
        </is>
      </c>
    </row>
    <row r="6">
      <c r="A6" s="4" t="inlineStr">
        <is>
          <t>Marża operacyjna</t>
        </is>
      </c>
      <c r="B6" s="6" t="n">
        <v>0.08400000000000001</v>
      </c>
      <c r="C6" s="2" t="inlineStr">
        <is>
          <t>Marza</t>
        </is>
      </c>
      <c r="D6" s="2" t="inlineStr">
        <is>
          <t>z opisu case'u</t>
        </is>
      </c>
    </row>
    <row r="7">
      <c r="A7" s="4" t="inlineStr">
        <is>
          <t>Pracownicy</t>
        </is>
      </c>
      <c r="B7" s="7" t="n">
        <v>720</v>
      </c>
      <c r="C7" s="2" t="inlineStr">
        <is>
          <t>Pracownicy</t>
        </is>
      </c>
      <c r="D7" s="2" t="inlineStr">
        <is>
          <t>z opisu case'u</t>
        </is>
      </c>
    </row>
    <row r="8">
      <c r="A8" s="4" t="inlineStr">
        <is>
          <t>Klienci</t>
        </is>
      </c>
      <c r="B8" s="7" t="n">
        <v>14</v>
      </c>
      <c r="C8" s="2" t="inlineStr">
        <is>
          <t>Klienci</t>
        </is>
      </c>
      <c r="D8" s="2" t="inlineStr">
        <is>
          <t>z opisu case'u</t>
        </is>
      </c>
    </row>
    <row r="9">
      <c r="A9" s="4" t="inlineStr">
        <is>
          <t>EBIT (mln zł)</t>
        </is>
      </c>
      <c r="B9" s="8">
        <f>Przychod*Marza</f>
        <v/>
      </c>
      <c r="C9" s="2" t="inlineStr">
        <is>
          <t>EBIT</t>
        </is>
      </c>
      <c r="D9" s="2" t="inlineStr">
        <is>
          <t>przychód × marża</t>
        </is>
      </c>
    </row>
    <row r="10">
      <c r="A10" s="4" t="inlineStr">
        <is>
          <t>Przychód / pracownik (tys. zł)</t>
        </is>
      </c>
      <c r="B10" s="9">
        <f>Przychod/Pracownicy*1000</f>
        <v/>
      </c>
    </row>
    <row r="11">
      <c r="A11" s="4" t="inlineStr">
        <is>
          <t>EBIT / pracownik (tys. zł)</t>
        </is>
      </c>
      <c r="B11" s="9">
        <f>EBIT/Pracownicy*1000</f>
        <v/>
      </c>
    </row>
    <row r="12">
      <c r="A12" s="4" t="inlineStr">
        <is>
          <t>Średni przychód / klient (mln zł)</t>
        </is>
      </c>
      <c r="B12" s="8">
        <f>Przychod/Klienci</f>
        <v/>
      </c>
    </row>
    <row r="13">
      <c r="A13" s="4" t="inlineStr">
        <is>
          <t>1 pp rabatu (mln zł)</t>
        </is>
      </c>
      <c r="B13" s="8">
        <f>Przychod*0.01</f>
        <v/>
      </c>
      <c r="C13" s="2" t="inlineStr">
        <is>
          <t>Rabat_1pp</t>
        </is>
      </c>
    </row>
    <row r="14">
      <c r="A14" s="4" t="inlineStr">
        <is>
          <t>1 pp rabatu jako % EBIT</t>
        </is>
      </c>
      <c r="B14" s="10">
        <f>Rabat_1pp/EBIT</f>
        <v/>
      </c>
    </row>
    <row r="16">
      <c r="A16" s="11" t="inlineStr">
        <is>
          <t>Sanity-check</t>
        </is>
      </c>
    </row>
    <row r="17">
      <c r="A17" s="4" t="inlineStr">
        <is>
          <t>Σ FTE działów (E1_Dzialy)</t>
        </is>
      </c>
      <c r="B17" s="12">
        <f>SUM(E1_Dzialy!B5:B12)</f>
        <v/>
      </c>
      <c r="D17" s="2" t="inlineStr">
        <is>
          <t>musi = 720</t>
        </is>
      </c>
    </row>
    <row r="18">
      <c r="A18" s="4" t="inlineStr">
        <is>
          <t>Σ przychodów klientów (E1_Klienci)</t>
        </is>
      </c>
      <c r="B18" s="8">
        <f>SUM(E1_Klienci!B5:B18)</f>
        <v/>
      </c>
      <c r="D18" s="2" t="inlineStr">
        <is>
          <t>musi = 114,93</t>
        </is>
      </c>
    </row>
    <row r="19">
      <c r="A19" s="4" t="inlineStr">
        <is>
          <t>Status</t>
        </is>
      </c>
      <c r="B19" s="13">
        <f>IF(AND(B17=Pracownicy,ABS(B18-Przychod)&lt;0.01),"OK — sumy się domykają","SPRAWDŹ z mentorem")</f>
        <v/>
      </c>
    </row>
    <row r="21">
      <c r="A21" s="11" t="inlineStr">
        <is>
          <t>Progi RAG [ZAŁOŻENIE] — zmieńcie tutaj, formuły w E1 się przeliczą</t>
        </is>
      </c>
    </row>
    <row r="22">
      <c r="A22" s="4" t="inlineStr">
        <is>
          <t>SLA: czerwony gdy poniżej umowy o więcej niż (pp)</t>
        </is>
      </c>
      <c r="B22" s="14" t="n">
        <v>3</v>
      </c>
      <c r="C22" s="2" t="inlineStr">
        <is>
          <t>Prog_SLA_pp</t>
        </is>
      </c>
    </row>
    <row r="23">
      <c r="A23" s="4" t="inlineStr">
        <is>
          <t>Rotacja: czerwony gdy &gt; X × mediana</t>
        </is>
      </c>
      <c r="B23" s="14" t="n">
        <v>1.5</v>
      </c>
      <c r="C23" s="2" t="inlineStr">
        <is>
          <t>Prog_rot</t>
        </is>
      </c>
    </row>
    <row r="24">
      <c r="A24" s="4" t="inlineStr">
        <is>
          <t>Udział klienta: czerwony gdy &gt;</t>
        </is>
      </c>
      <c r="B24" s="15" t="n">
        <v>0.15</v>
      </c>
      <c r="C24" s="2" t="inlineStr">
        <is>
          <t>Prog_udz_R</t>
        </is>
      </c>
    </row>
    <row r="25">
      <c r="A25" s="4" t="inlineStr">
        <is>
          <t>Udział klienta: żółty gdy ≥</t>
        </is>
      </c>
      <c r="B25" s="15" t="n">
        <v>0.07000000000000001</v>
      </c>
      <c r="C25" s="2" t="inlineStr">
        <is>
          <t>Prog_udz_Y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11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1" customWidth="1" min="4" max="4"/>
    <col width="12" customWidth="1" min="5" max="5"/>
    <col width="10" customWidth="1" min="6" max="6"/>
    <col width="14" customWidth="1" min="7" max="7"/>
    <col width="13" customWidth="1" min="8" max="8"/>
    <col width="12" customWidth="1" min="9" max="9"/>
    <col width="13" customWidth="1" min="10" max="10"/>
  </cols>
  <sheetData>
    <row r="1">
      <c r="A1" s="1" t="inlineStr">
        <is>
          <t>Szablon A — 8 działów</t>
        </is>
      </c>
    </row>
    <row r="2">
      <c r="A2" s="2" t="inlineStr">
        <is>
          <t>SLA vs umowa w pp (ujemne = poniżej umowy). Rotacja i obawa w % (np. 0,18).</t>
        </is>
      </c>
    </row>
    <row r="4" ht="32" customHeight="1">
      <c r="A4" s="16" t="inlineStr">
        <is>
          <t>Dział</t>
        </is>
      </c>
      <c r="B4" s="16" t="inlineStr">
        <is>
          <t>FTE</t>
        </is>
      </c>
      <c r="C4" s="16" t="inlineStr">
        <is>
          <t>Obciążenie (h/FTE)</t>
        </is>
      </c>
      <c r="D4" s="16" t="inlineStr">
        <is>
          <t>Wydajność</t>
        </is>
      </c>
      <c r="E4" s="16" t="inlineStr">
        <is>
          <t>SLA vs umowa (pp)</t>
        </is>
      </c>
      <c r="F4" s="16" t="inlineStr">
        <is>
          <t>Rotacja %</t>
        </is>
      </c>
      <c r="G4" s="16" t="inlineStr">
        <is>
          <t>Ankieta: obawa przed AI %</t>
        </is>
      </c>
      <c r="H4" s="16" t="inlineStr">
        <is>
          <t>Sygnał rotacja</t>
        </is>
      </c>
      <c r="I4" s="16" t="inlineStr">
        <is>
          <t>Sygnał SLA</t>
        </is>
      </c>
      <c r="J4" s="16" t="inlineStr">
        <is>
          <t>Sygnał łączny</t>
        </is>
      </c>
    </row>
    <row r="5">
      <c r="A5" s="17" t="inlineStr">
        <is>
          <t>Finanse i księgowość</t>
        </is>
      </c>
      <c r="B5" s="17" t="n"/>
      <c r="C5" s="17" t="n"/>
      <c r="D5" s="17" t="n"/>
      <c r="E5" s="17" t="n"/>
      <c r="F5" s="6" t="n"/>
      <c r="G5" s="6" t="n"/>
      <c r="H5" s="13">
        <f>IF(F5="","",IF(F5&gt;Prog_rot*MEDIAN($F$5:$F$12),"Czerwony",IF(F5&gt;MEDIAN($F$5:$F$12),"Żółty","Zielony")))</f>
        <v/>
      </c>
      <c r="I5" s="13">
        <f>IF(E5="","",IF(E5&lt;-Prog_SLA_pp,"Czerwony",IF(E5&lt;0,"Żółty","Zielony")))</f>
        <v/>
      </c>
      <c r="J5" s="13">
        <f>IF(AND(H5="",I5=""),"",IF(OR(H5="Czerwony",I5="Czerwony"),"Czerwony",IF(OR(H5="Żółty",I5="Żółty"),"Żółty","Zielony")))</f>
        <v/>
      </c>
    </row>
    <row r="6">
      <c r="A6" s="17" t="inlineStr">
        <is>
          <t>HR i payroll</t>
        </is>
      </c>
      <c r="B6" s="17" t="n"/>
      <c r="C6" s="17" t="n"/>
      <c r="D6" s="17" t="n"/>
      <c r="E6" s="17" t="n"/>
      <c r="F6" s="6" t="n"/>
      <c r="G6" s="6" t="n"/>
      <c r="H6" s="13">
        <f>IF(F6="","",IF(F6&gt;Prog_rot*MEDIAN($F$5:$F$12),"Czerwony",IF(F6&gt;MEDIAN($F$5:$F$12),"Żółty","Zielony")))</f>
        <v/>
      </c>
      <c r="I6" s="13">
        <f>IF(E6="","",IF(E6&lt;-Prog_SLA_pp,"Czerwony",IF(E6&lt;0,"Żółty","Zielony")))</f>
        <v/>
      </c>
      <c r="J6" s="13">
        <f>IF(AND(H6="",I6=""),"",IF(OR(H6="Czerwony",I6="Czerwony"),"Czerwony",IF(OR(H6="Żółty",I6="Żółty"),"Żółty","Zielony")))</f>
        <v/>
      </c>
    </row>
    <row r="7">
      <c r="A7" s="17" t="inlineStr">
        <is>
          <t>Obsługa klienta</t>
        </is>
      </c>
      <c r="B7" s="17" t="n"/>
      <c r="C7" s="17" t="n"/>
      <c r="D7" s="17" t="n"/>
      <c r="E7" s="17" t="n"/>
      <c r="F7" s="6" t="n"/>
      <c r="G7" s="6" t="n"/>
      <c r="H7" s="13">
        <f>IF(F7="","",IF(F7&gt;Prog_rot*MEDIAN($F$5:$F$12),"Czerwony",IF(F7&gt;MEDIAN($F$5:$F$12),"Żółty","Zielony")))</f>
        <v/>
      </c>
      <c r="I7" s="13">
        <f>IF(E7="","",IF(E7&lt;-Prog_SLA_pp,"Czerwony",IF(E7&lt;0,"Żółty","Zielony")))</f>
        <v/>
      </c>
      <c r="J7" s="13">
        <f>IF(AND(H7="",I7=""),"",IF(OR(H7="Czerwony",I7="Czerwony"),"Czerwony",IF(OR(H7="Żółty",I7="Żółty"),"Żółty","Zielony")))</f>
        <v/>
      </c>
    </row>
    <row r="8">
      <c r="A8" s="17" t="inlineStr">
        <is>
          <t>IT</t>
        </is>
      </c>
      <c r="B8" s="17" t="n"/>
      <c r="C8" s="17" t="n"/>
      <c r="D8" s="17" t="n"/>
      <c r="E8" s="17" t="n"/>
      <c r="F8" s="6" t="n"/>
      <c r="G8" s="6" t="n"/>
      <c r="H8" s="13">
        <f>IF(F8="","",IF(F8&gt;Prog_rot*MEDIAN($F$5:$F$12),"Czerwony",IF(F8&gt;MEDIAN($F$5:$F$12),"Żółty","Zielony")))</f>
        <v/>
      </c>
      <c r="I8" s="13">
        <f>IF(E8="","",IF(E8&lt;-Prog_SLA_pp,"Czerwony",IF(E8&lt;0,"Żółty","Zielony")))</f>
        <v/>
      </c>
      <c r="J8" s="13">
        <f>IF(AND(H8="",I8=""),"",IF(OR(H8="Czerwony",I8="Czerwony"),"Czerwony",IF(OR(H8="Żółty",I8="Żółty"),"Żółty","Zielony")))</f>
        <v/>
      </c>
    </row>
    <row r="9">
      <c r="A9" s="17" t="inlineStr">
        <is>
          <t>Logistyka</t>
        </is>
      </c>
      <c r="B9" s="17" t="n"/>
      <c r="C9" s="17" t="n"/>
      <c r="D9" s="17" t="n"/>
      <c r="E9" s="17" t="n"/>
      <c r="F9" s="6" t="n"/>
      <c r="G9" s="6" t="n"/>
      <c r="H9" s="13">
        <f>IF(F9="","",IF(F9&gt;Prog_rot*MEDIAN($F$5:$F$12),"Czerwony",IF(F9&gt;MEDIAN($F$5:$F$12),"Żółty","Zielony")))</f>
        <v/>
      </c>
      <c r="I9" s="13">
        <f>IF(E9="","",IF(E9&lt;-Prog_SLA_pp,"Czerwony",IF(E9&lt;0,"Żółty","Zielony")))</f>
        <v/>
      </c>
      <c r="J9" s="13">
        <f>IF(AND(H9="",I9=""),"",IF(OR(H9="Czerwony",I9="Czerwony"),"Czerwony",IF(OR(H9="Żółty",I9="Żółty"),"Żółty","Zielony")))</f>
        <v/>
      </c>
    </row>
    <row r="10">
      <c r="A10" s="17" t="inlineStr">
        <is>
          <t>Administracja</t>
        </is>
      </c>
      <c r="B10" s="17" t="n"/>
      <c r="C10" s="17" t="n"/>
      <c r="D10" s="17" t="n"/>
      <c r="E10" s="17" t="n"/>
      <c r="F10" s="6" t="n"/>
      <c r="G10" s="6" t="n"/>
      <c r="H10" s="13">
        <f>IF(F10="","",IF(F10&gt;Prog_rot*MEDIAN($F$5:$F$12),"Czerwony",IF(F10&gt;MEDIAN($F$5:$F$12),"Żółty","Zielony")))</f>
        <v/>
      </c>
      <c r="I10" s="13">
        <f>IF(E10="","",IF(E10&lt;-Prog_SLA_pp,"Czerwony",IF(E10&lt;0,"Żółty","Zielony")))</f>
        <v/>
      </c>
      <c r="J10" s="13">
        <f>IF(AND(H10="",I10=""),"",IF(OR(H10="Czerwony",I10="Czerwony"),"Czerwony",IF(OR(H10="Żółty",I10="Żółty"),"Żółty","Zielony")))</f>
        <v/>
      </c>
    </row>
    <row r="11">
      <c r="A11" s="17" t="inlineStr">
        <is>
          <t>[dział 7 z Excela]</t>
        </is>
      </c>
      <c r="B11" s="17" t="n"/>
      <c r="C11" s="17" t="n"/>
      <c r="D11" s="17" t="n"/>
      <c r="E11" s="17" t="n"/>
      <c r="F11" s="6" t="n"/>
      <c r="G11" s="6" t="n"/>
      <c r="H11" s="13">
        <f>IF(F11="","",IF(F11&gt;Prog_rot*MEDIAN($F$5:$F$12),"Czerwony",IF(F11&gt;MEDIAN($F$5:$F$12),"Żółty","Zielony")))</f>
        <v/>
      </c>
      <c r="I11" s="13">
        <f>IF(E11="","",IF(E11&lt;-Prog_SLA_pp,"Czerwony",IF(E11&lt;0,"Żółty","Zielony")))</f>
        <v/>
      </c>
      <c r="J11" s="13">
        <f>IF(AND(H11="",I11=""),"",IF(OR(H11="Czerwony",I11="Czerwony"),"Czerwony",IF(OR(H11="Żółty",I11="Żółty"),"Żółty","Zielony")))</f>
        <v/>
      </c>
    </row>
    <row r="12">
      <c r="A12" s="17" t="inlineStr">
        <is>
          <t>[dział 8 z Excela]</t>
        </is>
      </c>
      <c r="B12" s="17" t="n"/>
      <c r="C12" s="17" t="n"/>
      <c r="D12" s="17" t="n"/>
      <c r="E12" s="17" t="n"/>
      <c r="F12" s="6" t="n"/>
      <c r="G12" s="6" t="n"/>
      <c r="H12" s="13">
        <f>IF(F12="","",IF(F12&gt;Prog_rot*MEDIAN($F$5:$F$12),"Czerwony",IF(F12&gt;MEDIAN($F$5:$F$12),"Żółty","Zielony")))</f>
        <v/>
      </c>
      <c r="I12" s="13">
        <f>IF(E12="","",IF(E12&lt;-Prog_SLA_pp,"Czerwony",IF(E12&lt;0,"Żółty","Zielony")))</f>
        <v/>
      </c>
      <c r="J12" s="13">
        <f>IF(AND(H12="",I12=""),"",IF(OR(H12="Czerwony",I12="Czerwony"),"Czerwony",IF(OR(H12="Żółty",I12="Żółty"),"Żółty","Zielony")))</f>
        <v/>
      </c>
    </row>
    <row r="13">
      <c r="A13" s="11" t="inlineStr">
        <is>
          <t>Suma / średnia</t>
        </is>
      </c>
      <c r="B13">
        <f>SUM(B5:B12)</f>
        <v/>
      </c>
      <c r="C13">
        <f>AVERAGE(C5:C12)</f>
        <v/>
      </c>
      <c r="E13">
        <f>AVERAGE(E5:E12)</f>
        <v/>
      </c>
      <c r="F13" s="18">
        <f>MEDIAN(F5:F12)</f>
        <v/>
      </c>
      <c r="G13" s="18">
        <f>AVERAGE(G5:G12)</f>
        <v/>
      </c>
      <c r="H13" s="2" t="inlineStr">
        <is>
          <t>(F13 = mediana)</t>
        </is>
      </c>
    </row>
    <row r="15">
      <c r="A15" t="inlineStr">
        <is>
          <t>Σ FTE = 720?</t>
        </is>
      </c>
      <c r="B15">
        <f>IF(B13=Pracownicy,"OK","SPRAWDŹ")</f>
        <v/>
      </c>
    </row>
    <row r="16">
      <c r="A16" t="inlineStr">
        <is>
          <t>Korelacja r: rotacja × SLA</t>
        </is>
      </c>
      <c r="B16" s="19">
        <f>IFERROR(CORREL(F5:F12,E5:E12),"")</f>
        <v/>
      </c>
    </row>
    <row r="17">
      <c r="A17" t="inlineStr">
        <is>
          <t>Działy w czerwieni</t>
        </is>
      </c>
      <c r="B17">
        <f>COUNTIF(J5:J12,"Czerwony")</f>
        <v/>
      </c>
    </row>
    <row r="18">
      <c r="A18" s="2" t="inlineStr">
        <is>
          <t>Przy 8 działach r jest kruche — pokażcie wykres punktowy i potwierdźcie ankietą (triangulacja).</t>
        </is>
      </c>
    </row>
  </sheetData>
  <conditionalFormatting sqref="H5:J12">
    <cfRule type="cellIs" priority="1" operator="equal" dxfId="0">
      <formula>"Czerwony"</formula>
    </cfRule>
    <cfRule type="cellIs" priority="2" operator="equal" dxfId="1">
      <formula>"Żółty"</formula>
    </cfRule>
    <cfRule type="cellIs" priority="3" operator="equal" dxfId="2">
      <formula>"Zielony"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zoomScale="11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9" customWidth="1" min="5" max="5"/>
    <col width="10" customWidth="1" min="6" max="6"/>
    <col width="12" customWidth="1" min="7" max="7"/>
    <col width="18" customWidth="1" min="8" max="8"/>
    <col width="18" customWidth="1" min="9" max="9"/>
    <col width="12" customWidth="1" min="10" max="10"/>
  </cols>
  <sheetData>
    <row r="1">
      <c r="A1" s="1" t="inlineStr">
        <is>
          <t>Szablon B — 14 klientów</t>
        </is>
      </c>
    </row>
    <row r="2">
      <c r="A2" s="2" t="inlineStr">
        <is>
          <t>Przychód w mln zł, marża i udziały w %, SLA vs umowa w pp. Skumulowany % liczy się niezależnie od kolejności wierszy.</t>
        </is>
      </c>
    </row>
    <row r="4" ht="32" customHeight="1">
      <c r="A4" s="16" t="inlineStr">
        <is>
          <t>Klient</t>
        </is>
      </c>
      <c r="B4" s="16" t="inlineStr">
        <is>
          <t>Przychód (mln zł)</t>
        </is>
      </c>
      <c r="C4" s="16" t="inlineStr">
        <is>
          <t>Udział %</t>
        </is>
      </c>
      <c r="D4" s="16" t="inlineStr">
        <is>
          <t>Skumulowany % (Pareto)</t>
        </is>
      </c>
      <c r="E4" s="16" t="inlineStr">
        <is>
          <t>Ranking</t>
        </is>
      </c>
      <c r="F4" s="16" t="inlineStr">
        <is>
          <t>Marża %</t>
        </is>
      </c>
      <c r="G4" s="16" t="inlineStr">
        <is>
          <t>SLA vs umowa (pp)</t>
        </is>
      </c>
      <c r="H4" s="16" t="inlineStr">
        <is>
          <t>Presja cenowa / ryzyko odejścia</t>
        </is>
      </c>
      <c r="I4" s="16" t="inlineStr">
        <is>
          <t>Główny dział</t>
        </is>
      </c>
      <c r="J4" s="16" t="inlineStr">
        <is>
          <t>Sygnał</t>
        </is>
      </c>
    </row>
    <row r="5">
      <c r="A5" s="17" t="inlineStr">
        <is>
          <t>K1</t>
        </is>
      </c>
      <c r="B5" s="17" t="n"/>
      <c r="C5" s="10">
        <f>IF(B5="","",B5/SUM($B$5:$B$18))</f>
        <v/>
      </c>
      <c r="D5" s="10">
        <f>IF(B5="","",SUMIF($B$5:$B$18,"&gt;="&amp;B5)/SUM($B$5:$B$18))</f>
        <v/>
      </c>
      <c r="E5" s="13">
        <f>IF(B5="","",RANK(B5,$B$5:$B$18))</f>
        <v/>
      </c>
      <c r="F5" s="6" t="n"/>
      <c r="G5" s="17" t="n"/>
      <c r="H5" s="17" t="n"/>
      <c r="I5" s="17" t="n"/>
      <c r="J5" s="13">
        <f>IF(B5="","",IF(OR(F5&lt;0,F5&lt;0.5*AVERAGE($F$5:$F$18),G5&lt;-Prog_SLA_pp,C5&gt;Prog_udz_R),"Czerwony",IF(OR(F5&lt;Marza,G5&lt;0,C5&gt;=Prog_udz_Y),"Żółty","Zielony")))</f>
        <v/>
      </c>
    </row>
    <row r="6">
      <c r="A6" s="17" t="inlineStr">
        <is>
          <t>K2</t>
        </is>
      </c>
      <c r="B6" s="17" t="n"/>
      <c r="C6" s="10">
        <f>IF(B6="","",B6/SUM($B$5:$B$18))</f>
        <v/>
      </c>
      <c r="D6" s="10">
        <f>IF(B6="","",SUMIF($B$5:$B$18,"&gt;="&amp;B6)/SUM($B$5:$B$18))</f>
        <v/>
      </c>
      <c r="E6" s="13">
        <f>IF(B6="","",RANK(B6,$B$5:$B$18))</f>
        <v/>
      </c>
      <c r="F6" s="6" t="n"/>
      <c r="G6" s="17" t="n"/>
      <c r="H6" s="17" t="n"/>
      <c r="I6" s="17" t="n"/>
      <c r="J6" s="13">
        <f>IF(B6="","",IF(OR(F6&lt;0,F6&lt;0.5*AVERAGE($F$5:$F$18),G6&lt;-Prog_SLA_pp,C6&gt;Prog_udz_R),"Czerwony",IF(OR(F6&lt;Marza,G6&lt;0,C6&gt;=Prog_udz_Y),"Żółty","Zielony")))</f>
        <v/>
      </c>
    </row>
    <row r="7">
      <c r="A7" s="17" t="inlineStr">
        <is>
          <t>K3</t>
        </is>
      </c>
      <c r="B7" s="17" t="n"/>
      <c r="C7" s="10">
        <f>IF(B7="","",B7/SUM($B$5:$B$18))</f>
        <v/>
      </c>
      <c r="D7" s="10">
        <f>IF(B7="","",SUMIF($B$5:$B$18,"&gt;="&amp;B7)/SUM($B$5:$B$18))</f>
        <v/>
      </c>
      <c r="E7" s="13">
        <f>IF(B7="","",RANK(B7,$B$5:$B$18))</f>
        <v/>
      </c>
      <c r="F7" s="6" t="n"/>
      <c r="G7" s="17" t="n"/>
      <c r="H7" s="17" t="n"/>
      <c r="I7" s="17" t="n"/>
      <c r="J7" s="13">
        <f>IF(B7="","",IF(OR(F7&lt;0,F7&lt;0.5*AVERAGE($F$5:$F$18),G7&lt;-Prog_SLA_pp,C7&gt;Prog_udz_R),"Czerwony",IF(OR(F7&lt;Marza,G7&lt;0,C7&gt;=Prog_udz_Y),"Żółty","Zielony")))</f>
        <v/>
      </c>
    </row>
    <row r="8">
      <c r="A8" s="17" t="inlineStr">
        <is>
          <t>K4</t>
        </is>
      </c>
      <c r="B8" s="17" t="n"/>
      <c r="C8" s="10">
        <f>IF(B8="","",B8/SUM($B$5:$B$18))</f>
        <v/>
      </c>
      <c r="D8" s="10">
        <f>IF(B8="","",SUMIF($B$5:$B$18,"&gt;="&amp;B8)/SUM($B$5:$B$18))</f>
        <v/>
      </c>
      <c r="E8" s="13">
        <f>IF(B8="","",RANK(B8,$B$5:$B$18))</f>
        <v/>
      </c>
      <c r="F8" s="6" t="n"/>
      <c r="G8" s="17" t="n"/>
      <c r="H8" s="17" t="n"/>
      <c r="I8" s="17" t="n"/>
      <c r="J8" s="13">
        <f>IF(B8="","",IF(OR(F8&lt;0,F8&lt;0.5*AVERAGE($F$5:$F$18),G8&lt;-Prog_SLA_pp,C8&gt;Prog_udz_R),"Czerwony",IF(OR(F8&lt;Marza,G8&lt;0,C8&gt;=Prog_udz_Y),"Żółty","Zielony")))</f>
        <v/>
      </c>
    </row>
    <row r="9">
      <c r="A9" s="17" t="inlineStr">
        <is>
          <t>K5</t>
        </is>
      </c>
      <c r="B9" s="17" t="n"/>
      <c r="C9" s="10">
        <f>IF(B9="","",B9/SUM($B$5:$B$18))</f>
        <v/>
      </c>
      <c r="D9" s="10">
        <f>IF(B9="","",SUMIF($B$5:$B$18,"&gt;="&amp;B9)/SUM($B$5:$B$18))</f>
        <v/>
      </c>
      <c r="E9" s="13">
        <f>IF(B9="","",RANK(B9,$B$5:$B$18))</f>
        <v/>
      </c>
      <c r="F9" s="6" t="n"/>
      <c r="G9" s="17" t="n"/>
      <c r="H9" s="17" t="n"/>
      <c r="I9" s="17" t="n"/>
      <c r="J9" s="13">
        <f>IF(B9="","",IF(OR(F9&lt;0,F9&lt;0.5*AVERAGE($F$5:$F$18),G9&lt;-Prog_SLA_pp,C9&gt;Prog_udz_R),"Czerwony",IF(OR(F9&lt;Marza,G9&lt;0,C9&gt;=Prog_udz_Y),"Żółty","Zielony")))</f>
        <v/>
      </c>
    </row>
    <row r="10">
      <c r="A10" s="17" t="inlineStr">
        <is>
          <t>K6</t>
        </is>
      </c>
      <c r="B10" s="17" t="n"/>
      <c r="C10" s="10">
        <f>IF(B10="","",B10/SUM($B$5:$B$18))</f>
        <v/>
      </c>
      <c r="D10" s="10">
        <f>IF(B10="","",SUMIF($B$5:$B$18,"&gt;="&amp;B10)/SUM($B$5:$B$18))</f>
        <v/>
      </c>
      <c r="E10" s="13">
        <f>IF(B10="","",RANK(B10,$B$5:$B$18))</f>
        <v/>
      </c>
      <c r="F10" s="6" t="n"/>
      <c r="G10" s="17" t="n"/>
      <c r="H10" s="17" t="n"/>
      <c r="I10" s="17" t="n"/>
      <c r="J10" s="13">
        <f>IF(B10="","",IF(OR(F10&lt;0,F10&lt;0.5*AVERAGE($F$5:$F$18),G10&lt;-Prog_SLA_pp,C10&gt;Prog_udz_R),"Czerwony",IF(OR(F10&lt;Marza,G10&lt;0,C10&gt;=Prog_udz_Y),"Żółty","Zielony")))</f>
        <v/>
      </c>
    </row>
    <row r="11">
      <c r="A11" s="17" t="inlineStr">
        <is>
          <t>K7</t>
        </is>
      </c>
      <c r="B11" s="17" t="n"/>
      <c r="C11" s="10">
        <f>IF(B11="","",B11/SUM($B$5:$B$18))</f>
        <v/>
      </c>
      <c r="D11" s="10">
        <f>IF(B11="","",SUMIF($B$5:$B$18,"&gt;="&amp;B11)/SUM($B$5:$B$18))</f>
        <v/>
      </c>
      <c r="E11" s="13">
        <f>IF(B11="","",RANK(B11,$B$5:$B$18))</f>
        <v/>
      </c>
      <c r="F11" s="6" t="n"/>
      <c r="G11" s="17" t="n"/>
      <c r="H11" s="17" t="n"/>
      <c r="I11" s="17" t="n"/>
      <c r="J11" s="13">
        <f>IF(B11="","",IF(OR(F11&lt;0,F11&lt;0.5*AVERAGE($F$5:$F$18),G11&lt;-Prog_SLA_pp,C11&gt;Prog_udz_R),"Czerwony",IF(OR(F11&lt;Marza,G11&lt;0,C11&gt;=Prog_udz_Y),"Żółty","Zielony")))</f>
        <v/>
      </c>
    </row>
    <row r="12">
      <c r="A12" s="17" t="inlineStr">
        <is>
          <t>K8</t>
        </is>
      </c>
      <c r="B12" s="17" t="n"/>
      <c r="C12" s="10">
        <f>IF(B12="","",B12/SUM($B$5:$B$18))</f>
        <v/>
      </c>
      <c r="D12" s="10">
        <f>IF(B12="","",SUMIF($B$5:$B$18,"&gt;="&amp;B12)/SUM($B$5:$B$18))</f>
        <v/>
      </c>
      <c r="E12" s="13">
        <f>IF(B12="","",RANK(B12,$B$5:$B$18))</f>
        <v/>
      </c>
      <c r="F12" s="6" t="n"/>
      <c r="G12" s="17" t="n"/>
      <c r="H12" s="17" t="n"/>
      <c r="I12" s="17" t="n"/>
      <c r="J12" s="13">
        <f>IF(B12="","",IF(OR(F12&lt;0,F12&lt;0.5*AVERAGE($F$5:$F$18),G12&lt;-Prog_SLA_pp,C12&gt;Prog_udz_R),"Czerwony",IF(OR(F12&lt;Marza,G12&lt;0,C12&gt;=Prog_udz_Y),"Żółty","Zielony")))</f>
        <v/>
      </c>
    </row>
    <row r="13">
      <c r="A13" s="17" t="inlineStr">
        <is>
          <t>K9</t>
        </is>
      </c>
      <c r="B13" s="17" t="n"/>
      <c r="C13" s="10">
        <f>IF(B13="","",B13/SUM($B$5:$B$18))</f>
        <v/>
      </c>
      <c r="D13" s="10">
        <f>IF(B13="","",SUMIF($B$5:$B$18,"&gt;="&amp;B13)/SUM($B$5:$B$18))</f>
        <v/>
      </c>
      <c r="E13" s="13">
        <f>IF(B13="","",RANK(B13,$B$5:$B$18))</f>
        <v/>
      </c>
      <c r="F13" s="6" t="n"/>
      <c r="G13" s="17" t="n"/>
      <c r="H13" s="17" t="n"/>
      <c r="I13" s="17" t="n"/>
      <c r="J13" s="13">
        <f>IF(B13="","",IF(OR(F13&lt;0,F13&lt;0.5*AVERAGE($F$5:$F$18),G13&lt;-Prog_SLA_pp,C13&gt;Prog_udz_R),"Czerwony",IF(OR(F13&lt;Marza,G13&lt;0,C13&gt;=Prog_udz_Y),"Żółty","Zielony")))</f>
        <v/>
      </c>
    </row>
    <row r="14">
      <c r="A14" s="17" t="inlineStr">
        <is>
          <t>K10</t>
        </is>
      </c>
      <c r="B14" s="17" t="n"/>
      <c r="C14" s="10">
        <f>IF(B14="","",B14/SUM($B$5:$B$18))</f>
        <v/>
      </c>
      <c r="D14" s="10">
        <f>IF(B14="","",SUMIF($B$5:$B$18,"&gt;="&amp;B14)/SUM($B$5:$B$18))</f>
        <v/>
      </c>
      <c r="E14" s="13">
        <f>IF(B14="","",RANK(B14,$B$5:$B$18))</f>
        <v/>
      </c>
      <c r="F14" s="6" t="n"/>
      <c r="G14" s="17" t="n"/>
      <c r="H14" s="17" t="n"/>
      <c r="I14" s="17" t="n"/>
      <c r="J14" s="13">
        <f>IF(B14="","",IF(OR(F14&lt;0,F14&lt;0.5*AVERAGE($F$5:$F$18),G14&lt;-Prog_SLA_pp,C14&gt;Prog_udz_R),"Czerwony",IF(OR(F14&lt;Marza,G14&lt;0,C14&gt;=Prog_udz_Y),"Żółty","Zielony")))</f>
        <v/>
      </c>
    </row>
    <row r="15">
      <c r="A15" s="17" t="inlineStr">
        <is>
          <t>K11</t>
        </is>
      </c>
      <c r="B15" s="17" t="n"/>
      <c r="C15" s="10">
        <f>IF(B15="","",B15/SUM($B$5:$B$18))</f>
        <v/>
      </c>
      <c r="D15" s="10">
        <f>IF(B15="","",SUMIF($B$5:$B$18,"&gt;="&amp;B15)/SUM($B$5:$B$18))</f>
        <v/>
      </c>
      <c r="E15" s="13">
        <f>IF(B15="","",RANK(B15,$B$5:$B$18))</f>
        <v/>
      </c>
      <c r="F15" s="6" t="n"/>
      <c r="G15" s="17" t="n"/>
      <c r="H15" s="17" t="n"/>
      <c r="I15" s="17" t="n"/>
      <c r="J15" s="13">
        <f>IF(B15="","",IF(OR(F15&lt;0,F15&lt;0.5*AVERAGE($F$5:$F$18),G15&lt;-Prog_SLA_pp,C15&gt;Prog_udz_R),"Czerwony",IF(OR(F15&lt;Marza,G15&lt;0,C15&gt;=Prog_udz_Y),"Żółty","Zielony")))</f>
        <v/>
      </c>
    </row>
    <row r="16">
      <c r="A16" s="17" t="inlineStr">
        <is>
          <t>K12</t>
        </is>
      </c>
      <c r="B16" s="17" t="n"/>
      <c r="C16" s="10">
        <f>IF(B16="","",B16/SUM($B$5:$B$18))</f>
        <v/>
      </c>
      <c r="D16" s="10">
        <f>IF(B16="","",SUMIF($B$5:$B$18,"&gt;="&amp;B16)/SUM($B$5:$B$18))</f>
        <v/>
      </c>
      <c r="E16" s="13">
        <f>IF(B16="","",RANK(B16,$B$5:$B$18))</f>
        <v/>
      </c>
      <c r="F16" s="6" t="n"/>
      <c r="G16" s="17" t="n"/>
      <c r="H16" s="17" t="n"/>
      <c r="I16" s="17" t="n"/>
      <c r="J16" s="13">
        <f>IF(B16="","",IF(OR(F16&lt;0,F16&lt;0.5*AVERAGE($F$5:$F$18),G16&lt;-Prog_SLA_pp,C16&gt;Prog_udz_R),"Czerwony",IF(OR(F16&lt;Marza,G16&lt;0,C16&gt;=Prog_udz_Y),"Żółty","Zielony")))</f>
        <v/>
      </c>
    </row>
    <row r="17">
      <c r="A17" s="17" t="inlineStr">
        <is>
          <t>K13</t>
        </is>
      </c>
      <c r="B17" s="17" t="n"/>
      <c r="C17" s="10">
        <f>IF(B17="","",B17/SUM($B$5:$B$18))</f>
        <v/>
      </c>
      <c r="D17" s="10">
        <f>IF(B17="","",SUMIF($B$5:$B$18,"&gt;="&amp;B17)/SUM($B$5:$B$18))</f>
        <v/>
      </c>
      <c r="E17" s="13">
        <f>IF(B17="","",RANK(B17,$B$5:$B$18))</f>
        <v/>
      </c>
      <c r="F17" s="6" t="n"/>
      <c r="G17" s="17" t="n"/>
      <c r="H17" s="17" t="n"/>
      <c r="I17" s="17" t="n"/>
      <c r="J17" s="13">
        <f>IF(B17="","",IF(OR(F17&lt;0,F17&lt;0.5*AVERAGE($F$5:$F$18),G17&lt;-Prog_SLA_pp,C17&gt;Prog_udz_R),"Czerwony",IF(OR(F17&lt;Marza,G17&lt;0,C17&gt;=Prog_udz_Y),"Żółty","Zielony")))</f>
        <v/>
      </c>
    </row>
    <row r="18">
      <c r="A18" s="17" t="inlineStr">
        <is>
          <t>K14</t>
        </is>
      </c>
      <c r="B18" s="17" t="n"/>
      <c r="C18" s="10">
        <f>IF(B18="","",B18/SUM($B$5:$B$18))</f>
        <v/>
      </c>
      <c r="D18" s="10">
        <f>IF(B18="","",SUMIF($B$5:$B$18,"&gt;="&amp;B18)/SUM($B$5:$B$18))</f>
        <v/>
      </c>
      <c r="E18" s="13">
        <f>IF(B18="","",RANK(B18,$B$5:$B$18))</f>
        <v/>
      </c>
      <c r="F18" s="6" t="n"/>
      <c r="G18" s="17" t="n"/>
      <c r="H18" s="17" t="n"/>
      <c r="I18" s="17" t="n"/>
      <c r="J18" s="13">
        <f>IF(B18="","",IF(OR(F18&lt;0,F18&lt;0.5*AVERAGE($F$5:$F$18),G18&lt;-Prog_SLA_pp,C18&gt;Prog_udz_R),"Czerwony",IF(OR(F18&lt;Marza,G18&lt;0,C18&gt;=Prog_udz_Y),"Żółty","Zielony")))</f>
        <v/>
      </c>
    </row>
    <row r="19">
      <c r="A19" s="11" t="inlineStr">
        <is>
          <t>Suma</t>
        </is>
      </c>
      <c r="B19">
        <f>SUM(B5:B18)</f>
        <v/>
      </c>
      <c r="C19" s="20">
        <f>SUM(C5:C18)</f>
        <v/>
      </c>
    </row>
    <row r="21">
      <c r="A21" t="inlineStr">
        <is>
          <t>Σ = 114,93?</t>
        </is>
      </c>
      <c r="B21">
        <f>IF(ABS(B19-Przychod)&lt;0.01,"OK","SPRAWDŹ")</f>
        <v/>
      </c>
    </row>
    <row r="22">
      <c r="A22" t="inlineStr">
        <is>
          <t>Top 3 = % przychodu</t>
        </is>
      </c>
      <c r="B22" s="18">
        <f>IFERROR((LARGE(B5:B18,1)+LARGE(B5:B18,2)+LARGE(B5:B18,3))/B19,"")</f>
        <v/>
      </c>
    </row>
    <row r="23">
      <c r="A23" t="inlineStr">
        <is>
          <t>Klienci do 80% przychodu</t>
        </is>
      </c>
      <c r="B23">
        <f>COUNTIF(D5:D18,"&lt;=0.8")</f>
        <v/>
      </c>
    </row>
    <row r="25">
      <c r="A25" s="2" t="inlineStr">
        <is>
          <t>Synteza: „HELVIA traci [X mln zł / pp marży], bo w [dział] rotacja [Y%] i SLA [Z% vs W% w umowie] uderzają w klientów generujących [N%] przychodu.”</t>
        </is>
      </c>
    </row>
  </sheetData>
  <conditionalFormatting sqref="J5:J18">
    <cfRule type="cellIs" priority="1" operator="equal" dxfId="0">
      <formula>"Czerwony"</formula>
    </cfRule>
    <cfRule type="cellIs" priority="2" operator="equal" dxfId="1">
      <formula>"Żółty"</formula>
    </cfRule>
    <cfRule type="cellIs" priority="3" operator="equal" dxfId="2">
      <formula>"Zielony"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4" customWidth="1" min="4" max="4"/>
    <col width="12" customWidth="1" min="5" max="5"/>
    <col width="20" customWidth="1" min="6" max="6"/>
    <col width="12" customWidth="1" min="7" max="7"/>
    <col width="14" customWidth="1" min="8" max="8"/>
    <col width="10" customWidth="1" min="9" max="9"/>
  </cols>
  <sheetData>
    <row r="1">
      <c r="A1" s="1" t="inlineStr">
        <is>
          <t>Krok 1 — Pipeline i test pojemności</t>
        </is>
      </c>
    </row>
    <row r="2">
      <c r="A2" s="2" t="inlineStr">
        <is>
          <t>Pytanie kontrolne: czy uwolnione przez AI FTE (E3) pokryją lukę FTE? Jeśli tak — „AI finansuje wzrost bez zwolnień”.</t>
        </is>
      </c>
    </row>
    <row r="4" ht="32" customHeight="1">
      <c r="A4" s="16" t="inlineStr">
        <is>
          <t>Kontrakt</t>
        </is>
      </c>
      <c r="B4" s="16" t="inlineStr">
        <is>
          <t>Wartość roczna (mln zł)</t>
        </is>
      </c>
      <c r="C4" s="16" t="inlineStr">
        <is>
          <t>Prawdop. %</t>
        </is>
      </c>
      <c r="D4" s="16" t="inlineStr">
        <is>
          <t>EV = wartość × p</t>
        </is>
      </c>
      <c r="E4" s="16" t="inlineStr">
        <is>
          <t>FTE potrzebne</t>
        </is>
      </c>
      <c r="F4" s="16" t="inlineStr">
        <is>
          <t>Dział realizujący</t>
        </is>
      </c>
      <c r="G4" s="16" t="inlineStr">
        <is>
          <t>Rotacja działu</t>
        </is>
      </c>
      <c r="H4" s="16" t="inlineStr">
        <is>
          <t>FTE dostępne w dziale</t>
        </is>
      </c>
      <c r="I4" s="16" t="inlineStr">
        <is>
          <t>Luka FTE</t>
        </is>
      </c>
    </row>
    <row r="5">
      <c r="A5" s="17" t="inlineStr">
        <is>
          <t>P1</t>
        </is>
      </c>
      <c r="B5" s="17" t="n"/>
      <c r="C5" s="15" t="n"/>
      <c r="D5" s="13">
        <f>IF(B5="","",B5*C5)</f>
        <v/>
      </c>
      <c r="E5" s="17" t="n"/>
      <c r="F5" s="17" t="n"/>
      <c r="G5" s="15" t="n"/>
      <c r="H5" s="17" t="n"/>
      <c r="I5" s="13">
        <f>IF(E5="","",E5-H5)</f>
        <v/>
      </c>
    </row>
    <row r="6">
      <c r="A6" s="17" t="inlineStr">
        <is>
          <t>P2</t>
        </is>
      </c>
      <c r="B6" s="17" t="n"/>
      <c r="C6" s="15" t="n"/>
      <c r="D6" s="13">
        <f>IF(B6="","",B6*C6)</f>
        <v/>
      </c>
      <c r="E6" s="17" t="n"/>
      <c r="F6" s="17" t="n"/>
      <c r="G6" s="15" t="n"/>
      <c r="H6" s="17" t="n"/>
      <c r="I6" s="13">
        <f>IF(E6="","",E6-H6)</f>
        <v/>
      </c>
    </row>
    <row r="7">
      <c r="A7" s="17" t="inlineStr">
        <is>
          <t>P3</t>
        </is>
      </c>
      <c r="B7" s="17" t="n"/>
      <c r="C7" s="15" t="n"/>
      <c r="D7" s="13">
        <f>IF(B7="","",B7*C7)</f>
        <v/>
      </c>
      <c r="E7" s="17" t="n"/>
      <c r="F7" s="17" t="n"/>
      <c r="G7" s="15" t="n"/>
      <c r="H7" s="17" t="n"/>
      <c r="I7" s="13">
        <f>IF(E7="","",E7-H7)</f>
        <v/>
      </c>
    </row>
    <row r="8">
      <c r="A8" s="17" t="inlineStr">
        <is>
          <t>P4</t>
        </is>
      </c>
      <c r="B8" s="17" t="n"/>
      <c r="C8" s="15" t="n"/>
      <c r="D8" s="13">
        <f>IF(B8="","",B8*C8)</f>
        <v/>
      </c>
      <c r="E8" s="17" t="n"/>
      <c r="F8" s="17" t="n"/>
      <c r="G8" s="15" t="n"/>
      <c r="H8" s="17" t="n"/>
      <c r="I8" s="13">
        <f>IF(E8="","",E8-H8)</f>
        <v/>
      </c>
    </row>
    <row r="9">
      <c r="A9" s="17" t="inlineStr">
        <is>
          <t>P5</t>
        </is>
      </c>
      <c r="B9" s="17" t="n"/>
      <c r="C9" s="15" t="n"/>
      <c r="D9" s="13">
        <f>IF(B9="","",B9*C9)</f>
        <v/>
      </c>
      <c r="E9" s="17" t="n"/>
      <c r="F9" s="17" t="n"/>
      <c r="G9" s="15" t="n"/>
      <c r="H9" s="17" t="n"/>
      <c r="I9" s="13">
        <f>IF(E9="","",E9-H9)</f>
        <v/>
      </c>
    </row>
    <row r="10">
      <c r="A10" s="17" t="inlineStr">
        <is>
          <t>P6</t>
        </is>
      </c>
      <c r="B10" s="17" t="n"/>
      <c r="C10" s="15" t="n"/>
      <c r="D10" s="13">
        <f>IF(B10="","",B10*C10)</f>
        <v/>
      </c>
      <c r="E10" s="17" t="n"/>
      <c r="F10" s="17" t="n"/>
      <c r="G10" s="15" t="n"/>
      <c r="H10" s="17" t="n"/>
      <c r="I10" s="13">
        <f>IF(E10="","",E10-H10)</f>
        <v/>
      </c>
    </row>
    <row r="11">
      <c r="A11" s="17" t="inlineStr">
        <is>
          <t>P7</t>
        </is>
      </c>
      <c r="B11" s="17" t="n"/>
      <c r="C11" s="15" t="n"/>
      <c r="D11" s="13">
        <f>IF(B11="","",B11*C11)</f>
        <v/>
      </c>
      <c r="E11" s="17" t="n"/>
      <c r="F11" s="17" t="n"/>
      <c r="G11" s="15" t="n"/>
      <c r="H11" s="17" t="n"/>
      <c r="I11" s="13">
        <f>IF(E11="","",E11-H11)</f>
        <v/>
      </c>
    </row>
    <row r="12">
      <c r="A12" s="17" t="inlineStr">
        <is>
          <t>P8</t>
        </is>
      </c>
      <c r="B12" s="17" t="n"/>
      <c r="C12" s="15" t="n"/>
      <c r="D12" s="13">
        <f>IF(B12="","",B12*C12)</f>
        <v/>
      </c>
      <c r="E12" s="17" t="n"/>
      <c r="F12" s="17" t="n"/>
      <c r="G12" s="15" t="n"/>
      <c r="H12" s="17" t="n"/>
      <c r="I12" s="13">
        <f>IF(E12="","",E12-H12)</f>
        <v/>
      </c>
    </row>
    <row r="13">
      <c r="A13" s="17" t="inlineStr">
        <is>
          <t>P9</t>
        </is>
      </c>
      <c r="B13" s="17" t="n"/>
      <c r="C13" s="15" t="n"/>
      <c r="D13" s="13">
        <f>IF(B13="","",B13*C13)</f>
        <v/>
      </c>
      <c r="E13" s="17" t="n"/>
      <c r="F13" s="17" t="n"/>
      <c r="G13" s="15" t="n"/>
      <c r="H13" s="17" t="n"/>
      <c r="I13" s="13">
        <f>IF(E13="","",E13-H13)</f>
        <v/>
      </c>
    </row>
    <row r="14">
      <c r="A14" s="17" t="inlineStr">
        <is>
          <t>P10</t>
        </is>
      </c>
      <c r="B14" s="17" t="n"/>
      <c r="C14" s="15" t="n"/>
      <c r="D14" s="13">
        <f>IF(B14="","",B14*C14)</f>
        <v/>
      </c>
      <c r="E14" s="17" t="n"/>
      <c r="F14" s="17" t="n"/>
      <c r="G14" s="15" t="n"/>
      <c r="H14" s="17" t="n"/>
      <c r="I14" s="13">
        <f>IF(E14="","",E14-H14)</f>
        <v/>
      </c>
    </row>
    <row r="15">
      <c r="A15" s="11" t="inlineStr">
        <is>
          <t>Suma</t>
        </is>
      </c>
      <c r="B15">
        <f>SUM(B5:B14)</f>
        <v/>
      </c>
      <c r="D15">
        <f>SUMPRODUCT(B5:B14,C5:C14)</f>
        <v/>
      </c>
      <c r="E15">
        <f>SUM(E5:E14)</f>
        <v/>
      </c>
      <c r="I15">
        <f>SUM(I5:I14)</f>
        <v/>
      </c>
    </row>
    <row r="17">
      <c r="A17" t="inlineStr">
        <is>
          <t>FTE uwolnione przez AI (z E3)</t>
        </is>
      </c>
      <c r="B17">
        <f>FTE_uwolnione</f>
        <v/>
      </c>
    </row>
    <row r="18">
      <c r="A18" t="inlineStr">
        <is>
          <t>Luka FTE po AI</t>
        </is>
      </c>
      <c r="B18">
        <f>FTE_pipeline-FTE_uwolnione</f>
        <v/>
      </c>
    </row>
    <row r="19">
      <c r="A19" t="inlineStr">
        <is>
          <t>Wniosek</t>
        </is>
      </c>
      <c r="B19">
        <f>IF(B18&lt;=0,"AI pokrywa lukę → AI finansuje wzrost bez zwolnień","Luka zostaje → rekrutacja / priorytetyzacja kontraktów")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="11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Krok 2 — Macierz kierunków (ocena 1–5)</t>
        </is>
      </c>
    </row>
    <row r="2">
      <c r="A2" s="2" t="inlineStr">
        <is>
          <t>Wagi to [ZAŁOŻENIE] — pokażcie je jury jawnie. Kolumna F sprawdza, czy zwycięzca wygrywa przy wagach 25/25/25/25.</t>
        </is>
      </c>
    </row>
    <row r="4" ht="32" customHeight="1">
      <c r="A4" s="16" t="inlineStr">
        <is>
          <t>Kryterium</t>
        </is>
      </c>
      <c r="B4" s="16" t="inlineStr">
        <is>
          <t>Waga</t>
        </is>
      </c>
      <c r="C4" s="16" t="inlineStr">
        <is>
          <t>Waga alt.</t>
        </is>
      </c>
      <c r="D4" s="16" t="inlineStr">
        <is>
          <t>A. Jakość: naprawa SLA w działach czerwonych</t>
        </is>
      </c>
      <c r="E4" s="16" t="inlineStr">
        <is>
          <t>B. Efektywność: automatyzacja back-office</t>
        </is>
      </c>
      <c r="F4" s="16" t="inlineStr">
        <is>
          <t>C. Wzrost: FTE do pipeline'u + oferta premium</t>
        </is>
      </c>
    </row>
    <row r="5">
      <c r="A5" s="4" t="inlineStr">
        <is>
          <t>Wpływ na EBIT w 12 mies.</t>
        </is>
      </c>
      <c r="B5" s="15" t="n">
        <v>0.3</v>
      </c>
      <c r="C5" s="15" t="n">
        <v>0.25</v>
      </c>
      <c r="D5" s="17" t="n"/>
      <c r="E5" s="17" t="n"/>
      <c r="F5" s="17" t="n"/>
    </row>
    <row r="6">
      <c r="A6" s="4" t="inlineStr">
        <is>
          <t>Ryzyko: SLA, kompetencje, opór (5 = niskie ryzyko)</t>
        </is>
      </c>
      <c r="B6" s="15" t="n">
        <v>0.2</v>
      </c>
      <c r="C6" s="15" t="n">
        <v>0.25</v>
      </c>
      <c r="D6" s="17" t="n"/>
      <c r="E6" s="17" t="n"/>
      <c r="F6" s="17" t="n"/>
    </row>
    <row r="7">
      <c r="A7" s="4" t="inlineStr">
        <is>
          <t>Wykonalność w 12 mies.</t>
        </is>
      </c>
      <c r="B7" s="15" t="n">
        <v>0.25</v>
      </c>
      <c r="C7" s="15" t="n">
        <v>0.25</v>
      </c>
      <c r="D7" s="17" t="n"/>
      <c r="E7" s="17" t="n"/>
      <c r="F7" s="17" t="n"/>
    </row>
    <row r="8">
      <c r="A8" s="4" t="inlineStr">
        <is>
          <t>Trójkąt Dobrostanu</t>
        </is>
      </c>
      <c r="B8" s="15" t="n">
        <v>0.25</v>
      </c>
      <c r="C8" s="15" t="n">
        <v>0.25</v>
      </c>
      <c r="D8" s="17" t="n"/>
      <c r="E8" s="17" t="n"/>
      <c r="F8" s="17" t="n"/>
    </row>
    <row r="9">
      <c r="A9" s="11" t="inlineStr">
        <is>
          <t>Wynik ważony (1–5)</t>
        </is>
      </c>
      <c r="D9" s="21">
        <f>IFERROR(SUMPRODUCT(D5:D8,$B$5:$B$8)/SUM($B$5:$B$8),"")</f>
        <v/>
      </c>
      <c r="E9" s="21">
        <f>IFERROR(SUMPRODUCT(E5:E8,$B$5:$B$8)/SUM($B$5:$B$8),"")</f>
        <v/>
      </c>
      <c r="F9" s="21">
        <f>IFERROR(SUMPRODUCT(F5:F8,$B$5:$B$8)/SUM($B$5:$B$8),"")</f>
        <v/>
      </c>
    </row>
    <row r="10">
      <c r="A10" s="11" t="inlineStr">
        <is>
          <t>Wynik przy wagach alt.</t>
        </is>
      </c>
      <c r="D10" s="21">
        <f>IFERROR(SUMPRODUCT(D5:D8,$C$5:$C$8)/SUM($C$5:$C$8),"")</f>
        <v/>
      </c>
      <c r="E10" s="21">
        <f>IFERROR(SUMPRODUCT(E5:E8,$C$5:$C$8)/SUM($C$5:$C$8),"")</f>
        <v/>
      </c>
      <c r="F10" s="21">
        <f>IFERROR(SUMPRODUCT(F5:F8,$C$5:$C$8)/SUM($C$5:$C$8),"")</f>
        <v/>
      </c>
    </row>
    <row r="12">
      <c r="A12" t="inlineStr">
        <is>
          <t>Zwycięzca (wagi bazowe)</t>
        </is>
      </c>
      <c r="B12">
        <f>IFERROR(INDEX($D$4:$F$4,MATCH(MAX(D9:F9),D9:F9,0)),"")</f>
        <v/>
      </c>
    </row>
    <row r="13">
      <c r="A13" t="inlineStr">
        <is>
          <t>Zwycięzca (wagi alt.)</t>
        </is>
      </c>
      <c r="B13">
        <f>IFERROR(INDEX($D$4:$F$4,MATCH(MAX(D10:F10),D10:F10,0)),"")</f>
        <v/>
      </c>
    </row>
    <row r="14">
      <c r="A14" t="inlineStr">
        <is>
          <t>Odporny na wagi?</t>
        </is>
      </c>
      <c r="B14">
        <f>IF(B12="","",IF(B12=B13,"TAK — pokażcie to jury","NIE — wybór zależy od wag, uzasadnijcie wagi"))</f>
        <v/>
      </c>
    </row>
    <row r="16">
      <c r="A16" s="2" t="inlineStr">
        <is>
          <t>„Wybieramy [X] kosztem [Y], ponieważ [liczba z E1/E2]. Wracamy do [Y], gdy [warunek mierzalny, np. SLA ≥ umowa przez 2 kwartały].”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="11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4" customWidth="1" min="3" max="3"/>
    <col width="10" customWidth="1" min="4" max="4"/>
    <col width="26" customWidth="1" min="5" max="5"/>
    <col width="34" customWidth="1" min="6" max="6"/>
  </cols>
  <sheetData>
    <row r="1">
      <c r="A1" s="1" t="inlineStr">
        <is>
          <t>Krok 3 — Warunki wobec klientów</t>
        </is>
      </c>
    </row>
    <row r="2">
      <c r="A2" s="2" t="inlineStr">
        <is>
          <t>Przykłady to [ZAŁOŻENIE] — podstawcie dane z Excela. Utratę klienta liczcie marżą pokrycia, nie 8,4%.</t>
        </is>
      </c>
    </row>
    <row r="4">
      <c r="A4" s="11" t="inlineStr">
        <is>
          <t>Parametry</t>
        </is>
      </c>
    </row>
    <row r="5">
      <c r="A5" s="4" t="inlineStr">
        <is>
          <t>Kary SLA unikane rocznie (mln zł)</t>
        </is>
      </c>
      <c r="B5" s="5" t="n"/>
      <c r="C5" s="2" t="inlineStr">
        <is>
          <t>Kary_SLA</t>
        </is>
      </c>
      <c r="D5" s="2" t="inlineStr">
        <is>
          <t>z Excela</t>
        </is>
      </c>
    </row>
    <row r="6">
      <c r="A6" s="4" t="inlineStr">
        <is>
          <t>Zweryfikowana oszczędność AI (mln zł/rok)</t>
        </is>
      </c>
      <c r="B6" s="5" t="n">
        <v>2</v>
      </c>
      <c r="C6" s="2" t="inlineStr">
        <is>
          <t>Oszczednosc_AI</t>
        </is>
      </c>
      <c r="D6" s="2" t="inlineStr">
        <is>
          <t>[ZAŁOŻENIE] przykład</t>
        </is>
      </c>
    </row>
    <row r="7">
      <c r="A7" s="4" t="inlineStr">
        <is>
          <t>Udział klienta w oszczędności s</t>
        </is>
      </c>
      <c r="B7" s="15" t="n">
        <v>0.5</v>
      </c>
      <c r="C7" s="2" t="inlineStr">
        <is>
          <t>Udzial_klienta</t>
        </is>
      </c>
      <c r="D7" s="2" t="inlineStr">
        <is>
          <t>[ZAŁOŻENIE] przykład</t>
        </is>
      </c>
    </row>
    <row r="8">
      <c r="A8" s="4" t="inlineStr">
        <is>
          <t>Rabat warunkowy d</t>
        </is>
      </c>
      <c r="B8" s="6" t="n">
        <v>0.02</v>
      </c>
      <c r="C8" s="2" t="inlineStr">
        <is>
          <t>Rabat_war</t>
        </is>
      </c>
    </row>
    <row r="9">
      <c r="A9" s="4" t="inlineStr">
        <is>
          <t>Przychód klienta z rabatem warunkowym (mln zł)</t>
        </is>
      </c>
      <c r="B9" s="5" t="n">
        <v>8.199999999999999</v>
      </c>
      <c r="C9" s="2" t="inlineStr">
        <is>
          <t>Przychod_klienta</t>
        </is>
      </c>
      <c r="D9" s="2" t="inlineStr">
        <is>
          <t>średni klient</t>
        </is>
      </c>
    </row>
    <row r="10">
      <c r="A10" s="4" t="inlineStr">
        <is>
          <t>Przychód premium AI (mln zł/rok)</t>
        </is>
      </c>
      <c r="B10" s="5" t="n"/>
      <c r="C10" s="2" t="inlineStr">
        <is>
          <t>Przychod_premium</t>
        </is>
      </c>
      <c r="D10" s="2" t="inlineStr">
        <is>
          <t>[ZAŁOŻENIE] wycena z mentorem</t>
        </is>
      </c>
    </row>
    <row r="11">
      <c r="A11" s="4" t="inlineStr">
        <is>
          <t>Marża na premium</t>
        </is>
      </c>
      <c r="B11" s="15" t="n"/>
      <c r="C11" s="2" t="inlineStr">
        <is>
          <t>Marza_premium</t>
        </is>
      </c>
    </row>
    <row r="12">
      <c r="A12" s="4" t="inlineStr">
        <is>
          <t>Rabat bezwarunkowy (antywzorzec)</t>
        </is>
      </c>
      <c r="B12" s="6" t="n">
        <v>0.02</v>
      </c>
      <c r="C12" s="2" t="inlineStr">
        <is>
          <t>Rabat_bezw</t>
        </is>
      </c>
    </row>
    <row r="13">
      <c r="A13" s="4" t="inlineStr">
        <is>
          <t>Marża pokrycia klienta</t>
        </is>
      </c>
      <c r="B13" s="15" t="n"/>
      <c r="C13" s="2" t="inlineStr">
        <is>
          <t>Marza_pokrycia</t>
        </is>
      </c>
      <c r="D13" s="2" t="inlineStr">
        <is>
          <t>zapytać mentora o strukturę kosztów</t>
        </is>
      </c>
    </row>
    <row r="15" ht="32" customHeight="1">
      <c r="A15" s="16" t="inlineStr">
        <is>
          <t>Opcja</t>
        </is>
      </c>
      <c r="B15" s="16" t="inlineStr">
        <is>
          <t>Mechanizm</t>
        </is>
      </c>
      <c r="C15" s="16" t="inlineStr">
        <is>
          <t>Wpływ na EBIT (mln zł)</t>
        </is>
      </c>
      <c r="D15" s="16" t="inlineStr">
        <is>
          <t>% EBIT</t>
        </is>
      </c>
      <c r="E15" s="16" t="inlineStr">
        <is>
          <t>Dla klienta</t>
        </is>
      </c>
      <c r="F15" s="16" t="inlineStr">
        <is>
          <t>Ryzyko</t>
        </is>
      </c>
    </row>
    <row r="16">
      <c r="A16" s="22" t="inlineStr">
        <is>
          <t>a) Ceny bez zmian, wyższy SLA</t>
        </is>
      </c>
      <c r="B16" s="22" t="inlineStr">
        <is>
          <t>Ta sama cena, szybciej i lepiej</t>
        </is>
      </c>
      <c r="C16" s="8">
        <f>IF(Kary_SLA="",0,Kary_SLA)</f>
        <v/>
      </c>
      <c r="D16" s="10">
        <f>C16/EBIT</f>
        <v/>
      </c>
      <c r="E16" s="22" t="inlineStr">
        <is>
          <t>Jakość, przewidywalność</t>
        </is>
      </c>
      <c r="F16" s="22" t="inlineStr">
        <is>
          <t>Klient czuje, że nie dzieli się korzyścią</t>
        </is>
      </c>
    </row>
    <row r="17">
      <c r="A17" s="22" t="inlineStr">
        <is>
          <t>b) Gain-sharing</t>
        </is>
      </c>
      <c r="B17" s="22" t="inlineStr">
        <is>
          <t>Klient dostaje s% zweryfikowanej oszczędności po spełnieniu KPI</t>
        </is>
      </c>
      <c r="C17" s="8">
        <f>(1-Udzial_klienta)*Oszczednosc_AI</f>
        <v/>
      </c>
      <c r="D17" s="10">
        <f>C17/EBIT</f>
        <v/>
      </c>
      <c r="E17" s="22" t="inlineStr">
        <is>
          <t>Realny udział w AI</t>
        </is>
      </c>
      <c r="F17" s="22" t="inlineStr">
        <is>
          <t>Spór o metodę pomiaru</t>
        </is>
      </c>
    </row>
    <row r="18">
      <c r="A18" s="22" t="inlineStr">
        <is>
          <t>c) Rabat warunkowy</t>
        </is>
      </c>
      <c r="B18" s="22" t="inlineStr">
        <is>
          <t>d% za dłuższy kontrakt / wolumen / zgodę na AI</t>
        </is>
      </c>
      <c r="C18" s="8">
        <f>-Rabat_war*Przychod_klienta</f>
        <v/>
      </c>
      <c r="D18" s="10">
        <f>C18/EBIT</f>
        <v/>
      </c>
      <c r="E18" s="22" t="inlineStr">
        <is>
          <t>Niższa cena teraz</t>
        </is>
      </c>
      <c r="F18" s="22" t="inlineStr">
        <is>
          <t>Efekt domina u innych klientów</t>
        </is>
      </c>
    </row>
    <row r="19">
      <c r="A19" s="22" t="inlineStr">
        <is>
          <t>d) Usługi premium AI</t>
        </is>
      </c>
      <c r="B19" s="22" t="inlineStr">
        <is>
          <t>Nowa linia: analityka, raporty, 24/7</t>
        </is>
      </c>
      <c r="C19" s="8">
        <f>IF(Przychod_premium="",0,Przychod_premium*Marza_premium)</f>
        <v/>
      </c>
      <c r="D19" s="10">
        <f>C19/EBIT</f>
        <v/>
      </c>
      <c r="E19" s="22" t="inlineStr">
        <is>
          <t>Nowa wartość</t>
        </is>
      </c>
      <c r="F19" s="22" t="inlineStr">
        <is>
          <t>Kompetencje, czas wdrożenia</t>
        </is>
      </c>
    </row>
    <row r="20">
      <c r="A20" s="22" t="inlineStr">
        <is>
          <t>❌ Rabat bezwarunkowy (antywzorzec)</t>
        </is>
      </c>
      <c r="B20" s="22" t="inlineStr">
        <is>
          <t>−d pp na całej bazie</t>
        </is>
      </c>
      <c r="C20" s="8">
        <f>-Rabat_bezw*Przychod</f>
        <v/>
      </c>
      <c r="D20" s="10">
        <f>C20/EBIT</f>
        <v/>
      </c>
      <c r="E20" s="22" t="inlineStr">
        <is>
          <t>Krótka radość</t>
        </is>
      </c>
      <c r="F20" s="22" t="inlineStr">
        <is>
          <t>Niszczy marżę — pokażcie jako odrzuconą opcję</t>
        </is>
      </c>
    </row>
    <row r="22">
      <c r="A22" t="inlineStr">
        <is>
          <t>Próg: przychód, który rabat bezwarunkowy musiałby uratować (mln zł)</t>
        </is>
      </c>
      <c r="B22" s="19">
        <f>IFERROR(Rabat_bezw*Przychod/Marza_pokrycia,"podaj marżę pokrycia")</f>
        <v/>
      </c>
    </row>
  </sheetData>
  <conditionalFormatting sqref="C16:D20">
    <cfRule type="cellIs" priority="1" operator="lessThan" dxfId="0">
      <formula>0</formula>
    </cfRule>
    <cfRule type="cellIs" priority="2" operator="greaterThan" dxfId="2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13" customWidth="1" min="4" max="4"/>
    <col width="13" customWidth="1" min="5" max="5"/>
    <col width="10" customWidth="1" min="6" max="6"/>
    <col width="10" customWidth="1" min="7" max="7"/>
    <col width="13" customWidth="1" min="8" max="8"/>
    <col width="9" customWidth="1" min="9" max="9"/>
    <col width="10" customWidth="1" min="10" max="10"/>
    <col width="13" customWidth="1" min="11" max="11"/>
    <col width="13" customWidth="1" min="12" max="12"/>
    <col width="10" customWidth="1" min="13" max="13"/>
    <col width="30" customWidth="1" min="14" max="14"/>
  </cols>
  <sheetData>
    <row r="1">
      <c r="A1" s="1" t="inlineStr">
        <is>
          <t>Część I — scoring procesów (1–5)</t>
        </is>
      </c>
    </row>
    <row r="2">
      <c r="A2" s="2" t="inlineStr">
        <is>
          <t>1 = bardzo nisko, 5 = bardzo wysoko. Granica ćwiartek [ZAŁOŻENIE] w B3 — przy dużym skupieniu wyników użyjcie mediany.</t>
        </is>
      </c>
    </row>
    <row r="3">
      <c r="A3" t="inlineStr">
        <is>
          <t>Granica ćwiartek</t>
        </is>
      </c>
      <c r="B3" s="23" t="n">
        <v>3</v>
      </c>
    </row>
    <row r="5" ht="32" customHeight="1">
      <c r="A5" s="16" t="inlineStr">
        <is>
          <t>Proces</t>
        </is>
      </c>
      <c r="B5" s="16" t="inlineStr">
        <is>
          <t>Wolumen</t>
        </is>
      </c>
      <c r="C5" s="16" t="inlineStr">
        <is>
          <t>Powtarzalność</t>
        </is>
      </c>
      <c r="D5" s="16" t="inlineStr">
        <is>
          <t>Ustrukturyzowanie danych</t>
        </is>
      </c>
      <c r="E5" s="16" t="inlineStr">
        <is>
          <t>Pracochłonność (FTE)</t>
        </is>
      </c>
      <c r="F5" s="16" t="inlineStr">
        <is>
          <t>Poziom błędów</t>
        </is>
      </c>
      <c r="G5" s="16" t="inlineStr">
        <is>
          <t>Potencjał śr.</t>
        </is>
      </c>
      <c r="H5" s="16" t="inlineStr">
        <is>
          <t>Wpływ błędu na klienta / SLA</t>
        </is>
      </c>
      <c r="I5" s="16" t="inlineStr">
        <is>
          <t>Dane osobowe</t>
        </is>
      </c>
      <c r="J5" s="16" t="inlineStr">
        <is>
          <t>Regulacje</t>
        </is>
      </c>
      <c r="K5" s="16" t="inlineStr">
        <is>
          <t>Nieodwracalność decyzji</t>
        </is>
      </c>
      <c r="L5" s="16" t="inlineStr">
        <is>
          <t>Potrzeba empatii / osądu</t>
        </is>
      </c>
      <c r="M5" s="16" t="inlineStr">
        <is>
          <t>Ryzyko śr.</t>
        </is>
      </c>
      <c r="N5" s="16" t="inlineStr">
        <is>
          <t>Ćwiartka</t>
        </is>
      </c>
    </row>
    <row r="6">
      <c r="A6" s="17" t="inlineStr">
        <is>
          <t>[proces 1]</t>
        </is>
      </c>
      <c r="B6" s="17" t="n"/>
      <c r="C6" s="17" t="n"/>
      <c r="D6" s="17" t="n"/>
      <c r="E6" s="17" t="n"/>
      <c r="F6" s="17" t="n"/>
      <c r="G6" s="9">
        <f>IF(COUNT(B6:F6)=0,"",AVERAGE(B6:F6))</f>
        <v/>
      </c>
      <c r="H6" s="17" t="n"/>
      <c r="I6" s="17" t="n"/>
      <c r="J6" s="17" t="n"/>
      <c r="K6" s="17" t="n"/>
      <c r="L6" s="17" t="n"/>
      <c r="M6" s="9">
        <f>IF(COUNT(H6:L6)=0,"",AVERAGE(H6:L6))</f>
        <v/>
      </c>
      <c r="N6" s="13">
        <f>IF(OR(G6="",M6=""),"",IF(G6&gt;=Granica,IF(M6&lt;Granica,"① Pierwsza fala: automatyzuj","② AI wspiera, człowiek zatwierdza"),IF(M6&lt;Granica,"③ Usprawnienia bez AI","④ Zostaw człowiekowi")))</f>
        <v/>
      </c>
    </row>
    <row r="7">
      <c r="A7" s="17" t="inlineStr">
        <is>
          <t>[proces 2]</t>
        </is>
      </c>
      <c r="B7" s="17" t="n"/>
      <c r="C7" s="17" t="n"/>
      <c r="D7" s="17" t="n"/>
      <c r="E7" s="17" t="n"/>
      <c r="F7" s="17" t="n"/>
      <c r="G7" s="9">
        <f>IF(COUNT(B7:F7)=0,"",AVERAGE(B7:F7))</f>
        <v/>
      </c>
      <c r="H7" s="17" t="n"/>
      <c r="I7" s="17" t="n"/>
      <c r="J7" s="17" t="n"/>
      <c r="K7" s="17" t="n"/>
      <c r="L7" s="17" t="n"/>
      <c r="M7" s="9">
        <f>IF(COUNT(H7:L7)=0,"",AVERAGE(H7:L7))</f>
        <v/>
      </c>
      <c r="N7" s="13">
        <f>IF(OR(G7="",M7=""),"",IF(G7&gt;=Granica,IF(M7&lt;Granica,"① Pierwsza fala: automatyzuj","② AI wspiera, człowiek zatwierdza"),IF(M7&lt;Granica,"③ Usprawnienia bez AI","④ Zostaw człowiekowi")))</f>
        <v/>
      </c>
    </row>
    <row r="8">
      <c r="A8" s="17" t="inlineStr">
        <is>
          <t>[proces 3]</t>
        </is>
      </c>
      <c r="B8" s="17" t="n"/>
      <c r="C8" s="17" t="n"/>
      <c r="D8" s="17" t="n"/>
      <c r="E8" s="17" t="n"/>
      <c r="F8" s="17" t="n"/>
      <c r="G8" s="9">
        <f>IF(COUNT(B8:F8)=0,"",AVERAGE(B8:F8))</f>
        <v/>
      </c>
      <c r="H8" s="17" t="n"/>
      <c r="I8" s="17" t="n"/>
      <c r="J8" s="17" t="n"/>
      <c r="K8" s="17" t="n"/>
      <c r="L8" s="17" t="n"/>
      <c r="M8" s="9">
        <f>IF(COUNT(H8:L8)=0,"",AVERAGE(H8:L8))</f>
        <v/>
      </c>
      <c r="N8" s="13">
        <f>IF(OR(G8="",M8=""),"",IF(G8&gt;=Granica,IF(M8&lt;Granica,"① Pierwsza fala: automatyzuj","② AI wspiera, człowiek zatwierdza"),IF(M8&lt;Granica,"③ Usprawnienia bez AI","④ Zostaw człowiekowi")))</f>
        <v/>
      </c>
    </row>
    <row r="9">
      <c r="A9" s="17" t="inlineStr">
        <is>
          <t>[proces 4]</t>
        </is>
      </c>
      <c r="B9" s="17" t="n"/>
      <c r="C9" s="17" t="n"/>
      <c r="D9" s="17" t="n"/>
      <c r="E9" s="17" t="n"/>
      <c r="F9" s="17" t="n"/>
      <c r="G9" s="9">
        <f>IF(COUNT(B9:F9)=0,"",AVERAGE(B9:F9))</f>
        <v/>
      </c>
      <c r="H9" s="17" t="n"/>
      <c r="I9" s="17" t="n"/>
      <c r="J9" s="17" t="n"/>
      <c r="K9" s="17" t="n"/>
      <c r="L9" s="17" t="n"/>
      <c r="M9" s="9">
        <f>IF(COUNT(H9:L9)=0,"",AVERAGE(H9:L9))</f>
        <v/>
      </c>
      <c r="N9" s="13">
        <f>IF(OR(G9="",M9=""),"",IF(G9&gt;=Granica,IF(M9&lt;Granica,"① Pierwsza fala: automatyzuj","② AI wspiera, człowiek zatwierdza"),IF(M9&lt;Granica,"③ Usprawnienia bez AI","④ Zostaw człowiekowi")))</f>
        <v/>
      </c>
    </row>
    <row r="10">
      <c r="A10" s="17" t="inlineStr">
        <is>
          <t>[proces 5]</t>
        </is>
      </c>
      <c r="B10" s="17" t="n"/>
      <c r="C10" s="17" t="n"/>
      <c r="D10" s="17" t="n"/>
      <c r="E10" s="17" t="n"/>
      <c r="F10" s="17" t="n"/>
      <c r="G10" s="9">
        <f>IF(COUNT(B10:F10)=0,"",AVERAGE(B10:F10))</f>
        <v/>
      </c>
      <c r="H10" s="17" t="n"/>
      <c r="I10" s="17" t="n"/>
      <c r="J10" s="17" t="n"/>
      <c r="K10" s="17" t="n"/>
      <c r="L10" s="17" t="n"/>
      <c r="M10" s="9">
        <f>IF(COUNT(H10:L10)=0,"",AVERAGE(H10:L10))</f>
        <v/>
      </c>
      <c r="N10" s="13">
        <f>IF(OR(G10="",M10=""),"",IF(G10&gt;=Granica,IF(M10&lt;Granica,"① Pierwsza fala: automatyzuj","② AI wspiera, człowiek zatwierdza"),IF(M10&lt;Granica,"③ Usprawnienia bez AI","④ Zostaw człowiekowi")))</f>
        <v/>
      </c>
    </row>
    <row r="11">
      <c r="A11" s="17" t="inlineStr">
        <is>
          <t>[proces 6]</t>
        </is>
      </c>
      <c r="B11" s="17" t="n"/>
      <c r="C11" s="17" t="n"/>
      <c r="D11" s="17" t="n"/>
      <c r="E11" s="17" t="n"/>
      <c r="F11" s="17" t="n"/>
      <c r="G11" s="9">
        <f>IF(COUNT(B11:F11)=0,"",AVERAGE(B11:F11))</f>
        <v/>
      </c>
      <c r="H11" s="17" t="n"/>
      <c r="I11" s="17" t="n"/>
      <c r="J11" s="17" t="n"/>
      <c r="K11" s="17" t="n"/>
      <c r="L11" s="17" t="n"/>
      <c r="M11" s="9">
        <f>IF(COUNT(H11:L11)=0,"",AVERAGE(H11:L11))</f>
        <v/>
      </c>
      <c r="N11" s="13">
        <f>IF(OR(G11="",M11=""),"",IF(G11&gt;=Granica,IF(M11&lt;Granica,"① Pierwsza fala: automatyzuj","② AI wspiera, człowiek zatwierdza"),IF(M11&lt;Granica,"③ Usprawnienia bez AI","④ Zostaw człowiekowi")))</f>
        <v/>
      </c>
    </row>
    <row r="12">
      <c r="A12" s="17" t="inlineStr">
        <is>
          <t>[proces 7]</t>
        </is>
      </c>
      <c r="B12" s="17" t="n"/>
      <c r="C12" s="17" t="n"/>
      <c r="D12" s="17" t="n"/>
      <c r="E12" s="17" t="n"/>
      <c r="F12" s="17" t="n"/>
      <c r="G12" s="9">
        <f>IF(COUNT(B12:F12)=0,"",AVERAGE(B12:F12))</f>
        <v/>
      </c>
      <c r="H12" s="17" t="n"/>
      <c r="I12" s="17" t="n"/>
      <c r="J12" s="17" t="n"/>
      <c r="K12" s="17" t="n"/>
      <c r="L12" s="17" t="n"/>
      <c r="M12" s="9">
        <f>IF(COUNT(H12:L12)=0,"",AVERAGE(H12:L12))</f>
        <v/>
      </c>
      <c r="N12" s="13">
        <f>IF(OR(G12="",M12=""),"",IF(G12&gt;=Granica,IF(M12&lt;Granica,"① Pierwsza fala: automatyzuj","② AI wspiera, człowiek zatwierdza"),IF(M12&lt;Granica,"③ Usprawnienia bez AI","④ Zostaw człowiekowi")))</f>
        <v/>
      </c>
    </row>
    <row r="13">
      <c r="A13" s="17" t="inlineStr">
        <is>
          <t>[proces 8]</t>
        </is>
      </c>
      <c r="B13" s="17" t="n"/>
      <c r="C13" s="17" t="n"/>
      <c r="D13" s="17" t="n"/>
      <c r="E13" s="17" t="n"/>
      <c r="F13" s="17" t="n"/>
      <c r="G13" s="9">
        <f>IF(COUNT(B13:F13)=0,"",AVERAGE(B13:F13))</f>
        <v/>
      </c>
      <c r="H13" s="17" t="n"/>
      <c r="I13" s="17" t="n"/>
      <c r="J13" s="17" t="n"/>
      <c r="K13" s="17" t="n"/>
      <c r="L13" s="17" t="n"/>
      <c r="M13" s="9">
        <f>IF(COUNT(H13:L13)=0,"",AVERAGE(H13:L13))</f>
        <v/>
      </c>
      <c r="N13" s="13">
        <f>IF(OR(G13="",M13=""),"",IF(G13&gt;=Granica,IF(M13&lt;Granica,"① Pierwsza fala: automatyzuj","② AI wspiera, człowiek zatwierdza"),IF(M13&lt;Granica,"③ Usprawnienia bez AI","④ Zostaw człowiekowi")))</f>
        <v/>
      </c>
    </row>
    <row r="14">
      <c r="A14" s="17" t="inlineStr">
        <is>
          <t>[proces 9]</t>
        </is>
      </c>
      <c r="B14" s="17" t="n"/>
      <c r="C14" s="17" t="n"/>
      <c r="D14" s="17" t="n"/>
      <c r="E14" s="17" t="n"/>
      <c r="F14" s="17" t="n"/>
      <c r="G14" s="9">
        <f>IF(COUNT(B14:F14)=0,"",AVERAGE(B14:F14))</f>
        <v/>
      </c>
      <c r="H14" s="17" t="n"/>
      <c r="I14" s="17" t="n"/>
      <c r="J14" s="17" t="n"/>
      <c r="K14" s="17" t="n"/>
      <c r="L14" s="17" t="n"/>
      <c r="M14" s="9">
        <f>IF(COUNT(H14:L14)=0,"",AVERAGE(H14:L14))</f>
        <v/>
      </c>
      <c r="N14" s="13">
        <f>IF(OR(G14="",M14=""),"",IF(G14&gt;=Granica,IF(M14&lt;Granica,"① Pierwsza fala: automatyzuj","② AI wspiera, człowiek zatwierdza"),IF(M14&lt;Granica,"③ Usprawnienia bez AI","④ Zostaw człowiekowi")))</f>
        <v/>
      </c>
    </row>
    <row r="15">
      <c r="A15" s="17" t="inlineStr">
        <is>
          <t>[proces 10]</t>
        </is>
      </c>
      <c r="B15" s="17" t="n"/>
      <c r="C15" s="17" t="n"/>
      <c r="D15" s="17" t="n"/>
      <c r="E15" s="17" t="n"/>
      <c r="F15" s="17" t="n"/>
      <c r="G15" s="9">
        <f>IF(COUNT(B15:F15)=0,"",AVERAGE(B15:F15))</f>
        <v/>
      </c>
      <c r="H15" s="17" t="n"/>
      <c r="I15" s="17" t="n"/>
      <c r="J15" s="17" t="n"/>
      <c r="K15" s="17" t="n"/>
      <c r="L15" s="17" t="n"/>
      <c r="M15" s="9">
        <f>IF(COUNT(H15:L15)=0,"",AVERAGE(H15:L15))</f>
        <v/>
      </c>
      <c r="N15" s="13">
        <f>IF(OR(G15="",M15=""),"",IF(G15&gt;=Granica,IF(M15&lt;Granica,"① Pierwsza fala: automatyzuj","② AI wspiera, człowiek zatwierdza"),IF(M15&lt;Granica,"③ Usprawnienia bez AI","④ Zostaw człowiekowi")))</f>
        <v/>
      </c>
    </row>
    <row r="16">
      <c r="A16" s="17" t="inlineStr">
        <is>
          <t>[proces 11]</t>
        </is>
      </c>
      <c r="B16" s="17" t="n"/>
      <c r="C16" s="17" t="n"/>
      <c r="D16" s="17" t="n"/>
      <c r="E16" s="17" t="n"/>
      <c r="F16" s="17" t="n"/>
      <c r="G16" s="9">
        <f>IF(COUNT(B16:F16)=0,"",AVERAGE(B16:F16))</f>
        <v/>
      </c>
      <c r="H16" s="17" t="n"/>
      <c r="I16" s="17" t="n"/>
      <c r="J16" s="17" t="n"/>
      <c r="K16" s="17" t="n"/>
      <c r="L16" s="17" t="n"/>
      <c r="M16" s="9">
        <f>IF(COUNT(H16:L16)=0,"",AVERAGE(H16:L16))</f>
        <v/>
      </c>
      <c r="N16" s="13">
        <f>IF(OR(G16="",M16=""),"",IF(G16&gt;=Granica,IF(M16&lt;Granica,"① Pierwsza fala: automatyzuj","② AI wspiera, człowiek zatwierdza"),IF(M16&lt;Granica,"③ Usprawnienia bez AI","④ Zostaw człowiekowi")))</f>
        <v/>
      </c>
    </row>
    <row r="17">
      <c r="A17" s="17" t="inlineStr">
        <is>
          <t>[proces 12]</t>
        </is>
      </c>
      <c r="B17" s="17" t="n"/>
      <c r="C17" s="17" t="n"/>
      <c r="D17" s="17" t="n"/>
      <c r="E17" s="17" t="n"/>
      <c r="F17" s="17" t="n"/>
      <c r="G17" s="9">
        <f>IF(COUNT(B17:F17)=0,"",AVERAGE(B17:F17))</f>
        <v/>
      </c>
      <c r="H17" s="17" t="n"/>
      <c r="I17" s="17" t="n"/>
      <c r="J17" s="17" t="n"/>
      <c r="K17" s="17" t="n"/>
      <c r="L17" s="17" t="n"/>
      <c r="M17" s="9">
        <f>IF(COUNT(H17:L17)=0,"",AVERAGE(H17:L17))</f>
        <v/>
      </c>
      <c r="N17" s="13">
        <f>IF(OR(G17="",M17=""),"",IF(G17&gt;=Granica,IF(M17&lt;Granica,"① Pierwsza fala: automatyzuj","② AI wspiera, człowiek zatwierdza"),IF(M17&lt;Granica,"③ Usprawnienia bez AI","④ Zostaw człowiekowi")))</f>
        <v/>
      </c>
    </row>
    <row r="19">
      <c r="A19" t="inlineStr">
        <is>
          <t>Mediana potencjału</t>
        </is>
      </c>
      <c r="B19">
        <f>IFERROR(MEDIAN(G6:G17),"")</f>
        <v/>
      </c>
    </row>
    <row r="20">
      <c r="A20" t="inlineStr">
        <is>
          <t>Mediana ryzyka</t>
        </is>
      </c>
      <c r="B20">
        <f>IFERROR(MEDIAN(M6:M17),"")</f>
        <v/>
      </c>
    </row>
    <row r="22">
      <c r="A22" s="2" t="inlineStr">
        <is>
          <t>Wybór: 2 procesy z ① + 1 z ② (powiązany z priorytetem E2) + 1 z ④ jako „zostawiony człowiekowi”.</t>
        </is>
      </c>
    </row>
  </sheetData>
  <conditionalFormatting sqref="N6:N17">
    <cfRule type="expression" priority="1" dxfId="3">
      <formula>LEFT(N6,1)="①"</formula>
    </cfRule>
    <cfRule type="expression" priority="2" dxfId="1">
      <formula>LEFT(N6,1)="④"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22" customWidth="1" min="4" max="4"/>
    <col width="30" customWidth="1" min="5" max="5"/>
  </cols>
  <sheetData>
    <row r="1">
      <c r="A1" s="1" t="inlineStr">
        <is>
          <t>Część II — proces obecny i mapa HITL</t>
        </is>
      </c>
    </row>
    <row r="2">
      <c r="A2" s="2" t="inlineStr">
        <is>
          <t>Przykład (faktury kosztowe) jest ilustracyjny — progi to [ZAŁOŻENIE] do kalibracji na danych.</t>
        </is>
      </c>
    </row>
    <row r="4">
      <c r="A4" s="11" t="inlineStr">
        <is>
          <t>Proces obecny (z karty źródłowej)</t>
        </is>
      </c>
    </row>
    <row r="5" ht="32" customHeight="1">
      <c r="A5" s="16" t="inlineStr">
        <is>
          <t>Krok</t>
        </is>
      </c>
      <c r="B5" s="16" t="inlineStr">
        <is>
          <t>Kto</t>
        </is>
      </c>
      <c r="C5" s="16" t="inlineStr">
        <is>
          <t>Czas (min)</t>
        </is>
      </c>
      <c r="D5" s="16" t="inlineStr">
        <is>
          <t>Narzędzie</t>
        </is>
      </c>
      <c r="E5" s="16" t="inlineStr">
        <is>
          <t>Typowe błędy</t>
        </is>
      </c>
    </row>
    <row r="6">
      <c r="A6" s="17" t="n">
        <v>1</v>
      </c>
      <c r="B6" s="17" t="n"/>
      <c r="C6" s="17" t="n"/>
      <c r="D6" s="17" t="n"/>
      <c r="E6" s="17" t="n"/>
    </row>
    <row r="7">
      <c r="A7" s="17" t="n">
        <v>2</v>
      </c>
      <c r="B7" s="17" t="n"/>
      <c r="C7" s="17" t="n"/>
      <c r="D7" s="17" t="n"/>
      <c r="E7" s="17" t="n"/>
    </row>
    <row r="8">
      <c r="A8" s="17" t="n">
        <v>3</v>
      </c>
      <c r="B8" s="17" t="n"/>
      <c r="C8" s="17" t="n"/>
      <c r="D8" s="17" t="n"/>
      <c r="E8" s="17" t="n"/>
    </row>
    <row r="9">
      <c r="A9" s="17" t="n">
        <v>4</v>
      </c>
      <c r="B9" s="17" t="n"/>
      <c r="C9" s="17" t="n"/>
      <c r="D9" s="17" t="n"/>
      <c r="E9" s="17" t="n"/>
    </row>
    <row r="10">
      <c r="A10" s="17" t="n">
        <v>5</v>
      </c>
      <c r="B10" s="17" t="n"/>
      <c r="C10" s="17" t="n"/>
      <c r="D10" s="17" t="n"/>
      <c r="E10" s="17" t="n"/>
    </row>
    <row r="11">
      <c r="A11" s="17" t="n">
        <v>6</v>
      </c>
      <c r="B11" s="17" t="n"/>
      <c r="C11" s="17" t="n"/>
      <c r="D11" s="17" t="n"/>
      <c r="E11" s="17" t="n"/>
    </row>
    <row r="12">
      <c r="A12" s="17" t="n">
        <v>7</v>
      </c>
      <c r="B12" s="17" t="n"/>
      <c r="C12" s="17" t="n"/>
      <c r="D12" s="17" t="n"/>
      <c r="E12" s="17" t="n"/>
    </row>
    <row r="13">
      <c r="A13" s="17" t="n">
        <v>8</v>
      </c>
      <c r="B13" s="17" t="n"/>
      <c r="C13" s="17" t="n"/>
      <c r="D13" s="17" t="n"/>
      <c r="E13" s="17" t="n"/>
    </row>
    <row r="16">
      <c r="A16" s="11" t="inlineStr">
        <is>
          <t>Mapa HITL</t>
        </is>
      </c>
    </row>
    <row r="17" ht="32" customHeight="1">
      <c r="A17" s="16" t="inlineStr">
        <is>
          <t>Krok</t>
        </is>
      </c>
      <c r="B17" s="16" t="inlineStr">
        <is>
          <t>Wykonawca</t>
        </is>
      </c>
      <c r="C17" s="16" t="inlineStr">
        <is>
          <t>Punkt kontroli</t>
        </is>
      </c>
      <c r="D17" s="16" t="inlineStr">
        <is>
          <t>Próg eskalacji do człowieka</t>
        </is>
      </c>
      <c r="E17" s="16" t="inlineStr">
        <is>
          <t>Właściciel</t>
        </is>
      </c>
    </row>
    <row r="18">
      <c r="A18" s="24" t="inlineStr">
        <is>
          <t>PRZYKŁAD: Odczyt i ekstrakcja danych z faktury</t>
        </is>
      </c>
      <c r="B18" s="24" t="inlineStr">
        <is>
          <t>AI</t>
        </is>
      </c>
      <c r="C18" s="24" t="inlineStr">
        <is>
          <t>Walidacja pól obowiązkowych</t>
        </is>
      </c>
      <c r="D18" s="24" t="inlineStr">
        <is>
          <t>Pewność odczytu &lt; 90%</t>
        </is>
      </c>
      <c r="E18" s="24" t="inlineStr">
        <is>
          <t>Lider zespołu AP</t>
        </is>
      </c>
    </row>
    <row r="19">
      <c r="A19" s="24" t="inlineStr">
        <is>
          <t>PRZYKŁAD: Dopasowanie do zamówienia</t>
        </is>
      </c>
      <c r="B19" s="24" t="inlineStr">
        <is>
          <t>AI</t>
        </is>
      </c>
      <c r="C19" s="24" t="inlineStr">
        <is>
          <t>Porównanie kwot</t>
        </is>
      </c>
      <c r="D19" s="24" t="inlineStr">
        <is>
          <t>Rozbieżność &gt; 2% lub brak zamówienia</t>
        </is>
      </c>
      <c r="E19" s="24" t="inlineStr">
        <is>
          <t>Księgowy</t>
        </is>
      </c>
    </row>
    <row r="20">
      <c r="A20" s="24" t="inlineStr">
        <is>
          <t>PRZYKŁAD: Dekretacja</t>
        </is>
      </c>
      <c r="B20" s="24" t="inlineStr">
        <is>
          <t>AI proponuje</t>
        </is>
      </c>
      <c r="C20" s="24" t="inlineStr">
        <is>
          <t>Próbka 10% sprawdzana dziennie</t>
        </is>
      </c>
      <c r="D20" s="24" t="inlineStr">
        <is>
          <t>Nowy kontrahent, kwota &gt; [X] zł</t>
        </is>
      </c>
      <c r="E20" s="24" t="inlineStr">
        <is>
          <t>Księgowy</t>
        </is>
      </c>
    </row>
    <row r="21">
      <c r="A21" s="24" t="inlineStr">
        <is>
          <t>PRZYKŁAD: Akceptacja płatności</t>
        </is>
      </c>
      <c r="B21" s="24" t="inlineStr">
        <is>
          <t>Człowiek</t>
        </is>
      </c>
      <c r="C21" s="24" t="inlineStr">
        <is>
          <t>Zawsze</t>
        </is>
      </c>
      <c r="D21" s="24" t="inlineStr">
        <is>
          <t>—</t>
        </is>
      </c>
      <c r="E21" s="24" t="inlineStr">
        <is>
          <t>Kierownik działu</t>
        </is>
      </c>
    </row>
    <row r="22">
      <c r="A22" s="24" t="inlineStr">
        <is>
          <t>PRZYKŁAD: Raport błędów AI</t>
        </is>
      </c>
      <c r="B22" s="24" t="inlineStr">
        <is>
          <t>AI + człowiek</t>
        </is>
      </c>
      <c r="C22" s="24" t="inlineStr">
        <is>
          <t>Przegląd tygodniowy</t>
        </is>
      </c>
      <c r="D22" s="24" t="inlineStr">
        <is>
          <t>Wzrost błędów &gt; 1 pp</t>
        </is>
      </c>
      <c r="E22" s="24" t="inlineStr">
        <is>
          <t>Ambasador AI</t>
        </is>
      </c>
    </row>
    <row r="23">
      <c r="A23" s="17" t="n"/>
      <c r="B23" s="17" t="n"/>
      <c r="C23" s="17" t="n"/>
      <c r="D23" s="17" t="n"/>
      <c r="E23" s="17" t="n"/>
    </row>
    <row r="24">
      <c r="A24" s="17" t="n"/>
      <c r="B24" s="17" t="n"/>
      <c r="C24" s="17" t="n"/>
      <c r="D24" s="17" t="n"/>
      <c r="E24" s="17" t="n"/>
    </row>
    <row r="25">
      <c r="A25" s="17" t="n"/>
      <c r="B25" s="17" t="n"/>
      <c r="C25" s="17" t="n"/>
      <c r="D25" s="17" t="n"/>
      <c r="E25" s="17" t="n"/>
    </row>
    <row r="26">
      <c r="A26" s="17" t="n"/>
      <c r="B26" s="17" t="n"/>
      <c r="C26" s="17" t="n"/>
      <c r="D26" s="17" t="n"/>
      <c r="E26" s="17" t="n"/>
    </row>
    <row r="27">
      <c r="A27" s="17" t="n"/>
      <c r="B27" s="17" t="n"/>
      <c r="C27" s="17" t="n"/>
      <c r="D27" s="17" t="n"/>
      <c r="E27" s="1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zoomScale="11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48" customWidth="1" min="4" max="4"/>
  </cols>
  <sheetData>
    <row r="1">
      <c r="A1" s="1" t="inlineStr">
        <is>
          <t>Część III — mini business case</t>
        </is>
      </c>
    </row>
    <row r="2">
      <c r="A2" s="2" t="inlineStr">
        <is>
          <t>Pokazujcie payback NETTO — uwzględnia stały koszt licencji i jury rzadziej go podważa. Kwoty w zł.</t>
        </is>
      </c>
    </row>
    <row r="4">
      <c r="A4" s="3" t="inlineStr">
        <is>
          <t>Pozycja</t>
        </is>
      </c>
      <c r="B4" s="3" t="inlineStr">
        <is>
          <t>Wartość</t>
        </is>
      </c>
      <c r="C4" s="3" t="inlineStr">
        <is>
          <t>Nazwa</t>
        </is>
      </c>
      <c r="D4" s="3" t="inlineStr">
        <is>
          <t>Wzór / źródło</t>
        </is>
      </c>
    </row>
    <row r="5">
      <c r="A5" s="4" t="inlineStr">
        <is>
          <t>Liczba użytkowników (n)</t>
        </is>
      </c>
      <c r="B5" s="7" t="n"/>
      <c r="C5" s="2" t="inlineStr">
        <is>
          <t>n_uzytk</t>
        </is>
      </c>
      <c r="D5" s="2" t="inlineStr">
        <is>
          <t>z mapy HITL</t>
        </is>
      </c>
    </row>
    <row r="6">
      <c r="A6" s="4" t="inlineStr">
        <is>
          <t>Cena licencji / użytkownik / mies. (c)</t>
        </is>
      </c>
      <c r="B6" s="25" t="n"/>
      <c r="C6" s="2" t="inlineStr">
        <is>
          <t>Cena_lic</t>
        </is>
      </c>
      <c r="D6" s="2" t="inlineStr">
        <is>
          <t>z Excela lub od mentora</t>
        </is>
      </c>
    </row>
    <row r="7">
      <c r="A7" s="4" t="inlineStr">
        <is>
          <t>Koszt licencji / mies.</t>
        </is>
      </c>
      <c r="B7" s="26">
        <f>n_uzytk*Cena_lic</f>
        <v/>
      </c>
      <c r="C7" s="2" t="inlineStr">
        <is>
          <t>Licencja_mies</t>
        </is>
      </c>
      <c r="D7" s="2" t="inlineStr">
        <is>
          <t>n × c</t>
        </is>
      </c>
    </row>
    <row r="8">
      <c r="A8" s="4" t="inlineStr">
        <is>
          <t>Wdrożenie i integracja (jednorazowo)</t>
        </is>
      </c>
      <c r="B8" s="25" t="n"/>
      <c r="C8" s="2" t="inlineStr">
        <is>
          <t>Wdrozenie</t>
        </is>
      </c>
      <c r="D8" s="2" t="inlineStr">
        <is>
          <t>z Excela / [ZAŁOŻENIE]</t>
        </is>
      </c>
    </row>
    <row r="9">
      <c r="A9" s="4" t="inlineStr">
        <is>
          <t>Szkolenia: liczba osób</t>
        </is>
      </c>
      <c r="B9" s="7" t="n"/>
      <c r="C9" s="2" t="inlineStr">
        <is>
          <t>Szkol_osoby</t>
        </is>
      </c>
    </row>
    <row r="10">
      <c r="A10" s="4" t="inlineStr">
        <is>
          <t>Szkolenia: godziny na osobę</t>
        </is>
      </c>
      <c r="B10" s="7" t="n"/>
      <c r="C10" s="2" t="inlineStr">
        <is>
          <t>Szkol_godz</t>
        </is>
      </c>
    </row>
    <row r="11">
      <c r="A11" s="4" t="inlineStr">
        <is>
          <t>Szkolenia: koszt godziny</t>
        </is>
      </c>
      <c r="B11" s="25" t="n"/>
      <c r="C11" s="2" t="inlineStr">
        <is>
          <t>Koszt_godz</t>
        </is>
      </c>
    </row>
    <row r="12">
      <c r="A12" s="4" t="inlineStr">
        <is>
          <t>Szkolenia (jednorazowo)</t>
        </is>
      </c>
      <c r="B12" s="26">
        <f>Szkol_osoby*Szkol_godz*Koszt_godz</f>
        <v/>
      </c>
      <c r="C12" s="2" t="inlineStr">
        <is>
          <t>Szkolenia</t>
        </is>
      </c>
      <c r="D12" s="2" t="inlineStr">
        <is>
          <t>osoby × godziny × koszt godziny</t>
        </is>
      </c>
    </row>
    <row r="13">
      <c r="A13" s="4" t="inlineStr">
        <is>
          <t>Koszt jednorazowy</t>
        </is>
      </c>
      <c r="B13" s="26">
        <f>Wdrozenie+Szkolenia</f>
        <v/>
      </c>
      <c r="C13" s="2" t="inlineStr">
        <is>
          <t>Koszt_jednoraz</t>
        </is>
      </c>
      <c r="D13" s="2" t="inlineStr">
        <is>
          <t>wdrożenie + szkolenia</t>
        </is>
      </c>
    </row>
    <row r="14">
      <c r="A14" s="4" t="inlineStr">
        <is>
          <t>Godziny zaoszczędzone / mies. (h)</t>
        </is>
      </c>
      <c r="B14" s="25" t="n"/>
      <c r="C14" s="2" t="inlineStr">
        <is>
          <t>Godz_zaoszcz</t>
        </is>
      </c>
      <c r="D14" s="2" t="inlineStr">
        <is>
          <t>z karty procesu: kroki AI × wolumen</t>
        </is>
      </c>
    </row>
    <row r="15">
      <c r="A15" s="4" t="inlineStr">
        <is>
          <t>Oszczędność FTE</t>
        </is>
      </c>
      <c r="B15" s="9">
        <f>Godz_zaoszcz/160</f>
        <v/>
      </c>
      <c r="C15" s="2" t="inlineStr">
        <is>
          <t>FTE_uwolnione</t>
        </is>
      </c>
      <c r="D15" s="2" t="inlineStr">
        <is>
          <t>h / 160</t>
        </is>
      </c>
    </row>
    <row r="16">
      <c r="A16" s="4" t="inlineStr">
        <is>
          <t>Miesięczny koszt etatu</t>
        </is>
      </c>
      <c r="B16" s="25" t="n"/>
      <c r="C16" s="2" t="inlineStr">
        <is>
          <t>Koszt_etatu</t>
        </is>
      </c>
      <c r="D16" s="2" t="inlineStr">
        <is>
          <t>z Excela</t>
        </is>
      </c>
    </row>
    <row r="17">
      <c r="A17" s="4" t="inlineStr">
        <is>
          <t>Wartość uwolnionego czasu / mies.</t>
        </is>
      </c>
      <c r="B17" s="26">
        <f>FTE_uwolnione*Koszt_etatu</f>
        <v/>
      </c>
      <c r="C17" s="2" t="inlineStr">
        <is>
          <t>Oszcz_mies</t>
        </is>
      </c>
      <c r="D17" s="2" t="inlineStr">
        <is>
          <t>FTE × mies. koszt etatu</t>
        </is>
      </c>
    </row>
    <row r="18">
      <c r="A18" s="4" t="inlineStr">
        <is>
          <t>Koszt całkowity (1. rok)</t>
        </is>
      </c>
      <c r="B18" s="26">
        <f>Koszt_jednoraz+12*Licencja_mies</f>
        <v/>
      </c>
      <c r="C18" s="2" t="inlineStr">
        <is>
          <t>Koszt_calk</t>
        </is>
      </c>
      <c r="D18" s="2" t="inlineStr">
        <is>
          <t>jednorazowy + 12 × licencja</t>
        </is>
      </c>
    </row>
    <row r="19">
      <c r="A19" s="4" t="inlineStr">
        <is>
          <t>Payback prosty (mies.)</t>
        </is>
      </c>
      <c r="B19" s="9">
        <f>IFERROR(Koszt_calk/Oszcz_mies,"")</f>
        <v/>
      </c>
      <c r="C19" s="2" t="inlineStr">
        <is>
          <t>Payback_prosty</t>
        </is>
      </c>
      <c r="D19" s="2" t="inlineStr">
        <is>
          <t>koszt całkowity / oszczędność mies.</t>
        </is>
      </c>
    </row>
    <row r="20">
      <c r="A20" s="4" t="inlineStr">
        <is>
          <t>Payback netto (mies.)</t>
        </is>
      </c>
      <c r="B20" s="9">
        <f>IFERROR(IF(Oszcz_mies&lt;=Licencja_mies,"nie zwraca się",Koszt_jednoraz/(Oszcz_mies-Licencja_mies)),"")</f>
        <v/>
      </c>
      <c r="C20" s="2" t="inlineStr">
        <is>
          <t>Payback_netto</t>
        </is>
      </c>
      <c r="D20" s="2" t="inlineStr">
        <is>
          <t>koszt jednorazowy / (oszczędność mies. − licencja mies.)</t>
        </is>
      </c>
    </row>
    <row r="21">
      <c r="A21" s="4" t="inlineStr">
        <is>
          <t>Test wrażliwości: payback netto przy oszczędności −30%</t>
        </is>
      </c>
      <c r="B21" s="9">
        <f>IFERROR(IF(0.7*Oszcz_mies&lt;=Licencja_mies,"nie zwraca się",Koszt_jednoraz/(0.7*Oszcz_mies-Licencja_mies)),"")</f>
        <v/>
      </c>
    </row>
    <row r="22">
      <c r="A22" s="4" t="inlineStr">
        <is>
          <t>Test wrażliwości: payback netto przy kosztach +30%</t>
        </is>
      </c>
      <c r="B22" s="9">
        <f>IFERROR(IF(Oszcz_mies&lt;=1.3*Licencja_mies,"nie zwraca się",1.3*Koszt_jednoraz/(Oszcz_mies-1.3*Licencja_mies)),"")</f>
        <v/>
      </c>
    </row>
    <row r="24">
      <c r="A24" s="11" t="inlineStr">
        <is>
          <t>Uwaga jury: przy „zero zwolnień” wartość uwolnionego czasu to nie gotówka. Wskażcie, co ją niesie:</t>
        </is>
      </c>
    </row>
    <row r="25">
      <c r="A25" s="4" t="inlineStr">
        <is>
          <t>Uniknięte rekrutacje pod pipeline (zł/mies.)</t>
        </is>
      </c>
      <c r="B25" s="25" t="n"/>
    </row>
    <row r="26">
      <c r="A26" s="4" t="inlineStr">
        <is>
          <t>Mniej kar SLA (zł/mies.)</t>
        </is>
      </c>
      <c r="B26" s="25" t="n"/>
    </row>
    <row r="27">
      <c r="A27" s="4" t="inlineStr">
        <is>
          <t>Mniej nadgodzin (zł/mies.)</t>
        </is>
      </c>
      <c r="B27" s="25" t="n"/>
    </row>
    <row r="28">
      <c r="A28" s="4" t="inlineStr">
        <is>
          <t>Nieobsadzone wakaty z rotacji (zł/mies.)</t>
        </is>
      </c>
      <c r="B28" s="25" t="n"/>
    </row>
    <row r="29">
      <c r="A29" s="4" t="inlineStr">
        <is>
          <t>Suma oszczędności gotówkowych / mies.</t>
        </is>
      </c>
      <c r="B29" s="26">
        <f>SUM(B25:B28)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11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38" customWidth="1" min="3" max="3"/>
    <col width="10" customWidth="1" min="4" max="4"/>
    <col width="30" customWidth="1" min="5" max="5"/>
  </cols>
  <sheetData>
    <row r="1">
      <c r="A1" s="1" t="inlineStr">
        <is>
          <t>Krok 1 — Gdzie trafia uwolniony czas</t>
        </is>
      </c>
    </row>
    <row r="2">
      <c r="A2" s="2" t="inlineStr">
        <is>
          <t>Uwolnione FTE idą na pracę, która przynosi przychód lub chroni klientów — nie na zwolnienia.</t>
        </is>
      </c>
    </row>
    <row r="4" ht="32" customHeight="1">
      <c r="A4" s="16" t="inlineStr">
        <is>
          <t>Źródło (proces z E3)</t>
        </is>
      </c>
      <c r="B4" s="16" t="inlineStr">
        <is>
          <t>Uwolnione FTE</t>
        </is>
      </c>
      <c r="C4" s="16" t="inlineStr">
        <is>
          <t>Kierunek</t>
        </is>
      </c>
      <c r="D4" s="16" t="inlineStr">
        <is>
          <t>Ile FTE</t>
        </is>
      </c>
      <c r="E4" s="16" t="inlineStr">
        <is>
          <t>Uzasadnienie liczbą</t>
        </is>
      </c>
    </row>
    <row r="5">
      <c r="A5" s="17" t="inlineStr">
        <is>
          <t>[proces 1]</t>
        </is>
      </c>
      <c r="B5" s="17" t="n"/>
      <c r="C5" s="4" t="inlineStr">
        <is>
          <t>Realizacja kontraktów z pipeline'u</t>
        </is>
      </c>
      <c r="D5" s="17" t="n"/>
      <c r="E5" s="17" t="inlineStr">
        <is>
          <t>Luka FTE z E2</t>
        </is>
      </c>
    </row>
    <row r="6">
      <c r="A6" s="17" t="inlineStr">
        <is>
          <t>[proces 2]</t>
        </is>
      </c>
      <c r="B6" s="17" t="n"/>
      <c r="C6" s="4" t="inlineStr">
        <is>
          <t>Poprawa SLA w działach czerwonych</t>
        </is>
      </c>
      <c r="D6" s="17" t="n"/>
      <c r="E6" s="17" t="inlineStr">
        <is>
          <t>SLA vs umowa z E1</t>
        </is>
      </c>
    </row>
    <row r="7">
      <c r="A7" s="17" t="inlineStr">
        <is>
          <t>[proces 3]</t>
        </is>
      </c>
      <c r="B7" s="17" t="n"/>
      <c r="C7" s="4" t="inlineStr">
        <is>
          <t>Obsługa premium / nowe usługi</t>
        </is>
      </c>
      <c r="D7" s="17" t="n"/>
      <c r="E7" s="17" t="inlineStr">
        <is>
          <t>Opcja d) z E2</t>
        </is>
      </c>
    </row>
    <row r="8">
      <c r="A8" s="17" t="inlineStr">
        <is>
          <t>Naturalna rotacja</t>
        </is>
      </c>
      <c r="B8" s="17" t="n"/>
      <c r="C8" s="4" t="inlineStr">
        <is>
          <t>Brak zastępowania części odejść</t>
        </is>
      </c>
      <c r="D8" s="17" t="n"/>
      <c r="E8" s="17" t="inlineStr">
        <is>
          <t>Rotacja % z E1</t>
        </is>
      </c>
    </row>
    <row r="9">
      <c r="A9" s="11" t="inlineStr">
        <is>
          <t>Suma</t>
        </is>
      </c>
      <c r="B9">
        <f>SUM(B5:B7)</f>
        <v/>
      </c>
      <c r="D9">
        <f>SUM(D5:D7)</f>
        <v/>
      </c>
    </row>
    <row r="10">
      <c r="A10" t="inlineStr">
        <is>
          <t>Kontrola</t>
        </is>
      </c>
      <c r="B10">
        <f>IF(B9=0,"",IF(ABS(B9-D9)&lt;0.05,"OK — całe uwolnione FTE ma kierunek","SPRAWDŹ — FTE bez kierunku"))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  <col width="22" customWidth="1" min="5" max="5"/>
    <col width="20" customWidth="1" min="6" max="6"/>
    <col width="14" customWidth="1" min="7" max="7"/>
    <col width="12" customWidth="1" min="8" max="8"/>
  </cols>
  <sheetData>
    <row r="1">
      <c r="A1" s="1" t="inlineStr">
        <is>
          <t>Krok 4 — 3 KPI po roku + progi bram</t>
        </is>
      </c>
    </row>
    <row r="2">
      <c r="A2" s="2" t="inlineStr">
        <is>
          <t>KPI = baza + cel 12 mies. + źródło + właściciel. Jeden KPI na wierzchołek Trójkąta.</t>
        </is>
      </c>
    </row>
    <row r="4" ht="32" customHeight="1">
      <c r="A4" s="16" t="inlineStr">
        <is>
          <t>KPI</t>
        </is>
      </c>
      <c r="B4" s="16" t="inlineStr">
        <is>
          <t>Grupa</t>
        </is>
      </c>
      <c r="C4" s="16" t="inlineStr">
        <is>
          <t>Baza (z Excela)</t>
        </is>
      </c>
      <c r="D4" s="16" t="inlineStr">
        <is>
          <t>Cel po 12 mies.</t>
        </is>
      </c>
      <c r="E4" s="16" t="inlineStr">
        <is>
          <t>Źródło danych</t>
        </is>
      </c>
      <c r="F4" s="16" t="inlineStr">
        <is>
          <t>Właściciel</t>
        </is>
      </c>
      <c r="G4" s="16" t="inlineStr">
        <is>
          <t>Częstotliwość</t>
        </is>
      </c>
      <c r="H4" s="16" t="inlineStr">
        <is>
          <t>Kompletny?</t>
        </is>
      </c>
    </row>
    <row r="5">
      <c r="A5" s="4" t="inlineStr">
        <is>
          <t>Marża operacyjna</t>
        </is>
      </c>
      <c r="B5" s="4" t="inlineStr">
        <is>
          <t>Zarząd</t>
        </is>
      </c>
      <c r="C5" s="6">
        <f>Marza</f>
        <v/>
      </c>
      <c r="D5" s="17" t="n"/>
      <c r="E5" s="4" t="inlineStr">
        <is>
          <t>Raport finansowy</t>
        </is>
      </c>
      <c r="F5" s="4" t="inlineStr">
        <is>
          <t>CFO</t>
        </is>
      </c>
      <c r="G5" s="4" t="inlineStr">
        <is>
          <t>Miesięcznie</t>
        </is>
      </c>
      <c r="H5" s="13">
        <f>IF(COUNTA(A5:G5)=7,"✔","brakuje")</f>
        <v/>
      </c>
    </row>
    <row r="6">
      <c r="A6" s="4" t="inlineStr">
        <is>
          <t>Adopcja AI (% aktywnych użytkowników w procesach fali 1)</t>
        </is>
      </c>
      <c r="B6" s="4" t="inlineStr">
        <is>
          <t>Pracownicy</t>
        </is>
      </c>
      <c r="C6" s="17" t="n"/>
      <c r="D6" s="17" t="n"/>
      <c r="E6" s="4" t="inlineStr">
        <is>
          <t>Logi narzędzi AI</t>
        </is>
      </c>
      <c r="F6" s="4" t="inlineStr">
        <is>
          <t>Dyrektor HR</t>
        </is>
      </c>
      <c r="G6" s="4" t="inlineStr">
        <is>
          <t>Miesięcznie</t>
        </is>
      </c>
      <c r="H6" s="13">
        <f>IF(COUNTA(A6:G6)=7,"✔","brakuje")</f>
        <v/>
      </c>
    </row>
    <row r="7">
      <c r="A7" s="4" t="inlineStr">
        <is>
          <t>SLA dotrzymane u klientów kluczowych</t>
        </is>
      </c>
      <c r="B7" s="4" t="inlineStr">
        <is>
          <t>Klienci</t>
        </is>
      </c>
      <c r="C7" s="17" t="n"/>
      <c r="D7" s="17" t="n"/>
      <c r="E7" s="4" t="inlineStr">
        <is>
          <t>System raportowania SLA</t>
        </is>
      </c>
      <c r="F7" s="4" t="inlineStr">
        <is>
          <t>Dyrektor operacyjny</t>
        </is>
      </c>
      <c r="G7" s="4" t="inlineStr">
        <is>
          <t>Miesięcznie</t>
        </is>
      </c>
      <c r="H7" s="13">
        <f>IF(COUNTA(A7:G7)=7,"✔","brakuje")</f>
        <v/>
      </c>
    </row>
    <row r="8">
      <c r="A8" s="4" t="inlineStr">
        <is>
          <t>(zapas) Rotacja w działach czerwonych</t>
        </is>
      </c>
      <c r="B8" s="4" t="n"/>
      <c r="C8" s="17" t="n"/>
      <c r="D8" s="17" t="n"/>
      <c r="E8" s="4" t="n"/>
      <c r="F8" s="4" t="n"/>
      <c r="G8" s="4" t="n"/>
      <c r="H8" s="13">
        <f>IF(COUNTA(A8:G8)=7,"✔","brakuje")</f>
        <v/>
      </c>
    </row>
    <row r="9">
      <c r="A9" s="4" t="inlineStr">
        <is>
          <t>(zapas) Retencja klientów (% przychodu utrzymany)</t>
        </is>
      </c>
      <c r="B9" s="4" t="n"/>
      <c r="C9" s="17" t="n"/>
      <c r="D9" s="17" t="n"/>
      <c r="E9" s="4" t="n"/>
      <c r="F9" s="4" t="n"/>
      <c r="G9" s="4" t="n"/>
      <c r="H9" s="13">
        <f>IF(COUNTA(A9:G9)=7,"✔","brakuje")</f>
        <v/>
      </c>
    </row>
    <row r="10">
      <c r="A10" s="4" t="inlineStr">
        <is>
          <t>(zapas) EV pipeline'u zamieniona na kontrakty</t>
        </is>
      </c>
      <c r="B10" s="4" t="n"/>
      <c r="C10" s="17" t="n"/>
      <c r="D10" s="17" t="n"/>
      <c r="E10" s="4" t="n"/>
      <c r="F10" s="4" t="n"/>
      <c r="G10" s="4" t="n"/>
      <c r="H10" s="13">
        <f>IF(COUNTA(A10:G10)=7,"✔","brakuje")</f>
        <v/>
      </c>
    </row>
    <row r="12">
      <c r="A12" s="11" t="inlineStr">
        <is>
          <t>Progi bram</t>
        </is>
      </c>
    </row>
    <row r="13" ht="32" customHeight="1">
      <c r="A13" s="16" t="inlineStr">
        <is>
          <t>Brama</t>
        </is>
      </c>
      <c r="B13" s="16" t="inlineStr">
        <is>
          <t>Warunek</t>
        </is>
      </c>
      <c r="C13" s="16" t="inlineStr">
        <is>
          <t>Próg</t>
        </is>
      </c>
      <c r="D13" s="16" t="inlineStr">
        <is>
          <t>Pomiar</t>
        </is>
      </c>
    </row>
    <row r="14">
      <c r="A14" s="4" t="inlineStr">
        <is>
          <t>Brama 1 (po mies. 3)</t>
        </is>
      </c>
      <c r="B14" s="4" t="inlineStr">
        <is>
          <t>Pilot utrzymuje SLA</t>
        </is>
      </c>
      <c r="C14" s="17" t="n"/>
      <c r="D14" s="17" t="n"/>
    </row>
    <row r="15">
      <c r="A15" s="4" t="inlineStr">
        <is>
          <t>Brama 2 (po mies. 6)</t>
        </is>
      </c>
      <c r="B15" s="4" t="inlineStr">
        <is>
          <t>Adopcja i payback w celu</t>
        </is>
      </c>
      <c r="C15" s="17" t="n"/>
      <c r="D15" s="1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="110"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1" customWidth="1" min="4" max="4"/>
    <col width="60" customWidth="1" min="5" max="5"/>
    <col width="22" customWidth="1" min="6" max="6"/>
  </cols>
  <sheetData>
    <row r="1">
      <c r="A1" s="1" t="inlineStr">
        <is>
          <t>Rejestr ryzyk (prawdop. × wpływ)</t>
        </is>
      </c>
    </row>
    <row r="2">
      <c r="A2" s="2" t="inlineStr">
        <is>
          <t>W = 3, Ś = 2, N = 1. Ocena wstępna — potwierdźcie na danych. Top 5 na slajd.</t>
        </is>
      </c>
    </row>
    <row r="4" ht="32" customHeight="1">
      <c r="A4" s="16" t="inlineStr">
        <is>
          <t>Ryzyko</t>
        </is>
      </c>
      <c r="B4" s="16" t="inlineStr">
        <is>
          <t>Prawd.</t>
        </is>
      </c>
      <c r="C4" s="16" t="inlineStr">
        <is>
          <t>Wpływ</t>
        </is>
      </c>
      <c r="D4" s="16" t="inlineStr">
        <is>
          <t>Wynik (P×W)</t>
        </is>
      </c>
      <c r="E4" s="16" t="inlineStr">
        <is>
          <t>Mitygacja</t>
        </is>
      </c>
      <c r="F4" s="16" t="inlineStr">
        <is>
          <t>Właściciel</t>
        </is>
      </c>
    </row>
    <row r="5">
      <c r="A5" s="17" t="inlineStr">
        <is>
          <t>Spadek SLA w okresie przejściowym</t>
        </is>
      </c>
      <c r="B5" s="17" t="inlineStr">
        <is>
          <t>Ś</t>
        </is>
      </c>
      <c r="C5" s="17" t="inlineStr">
        <is>
          <t>W</t>
        </is>
      </c>
      <c r="D5" s="13">
        <f>IF(OR(B5="",C5=""),"",(MATCH(B5,{"N","Ś","W"},0))*(MATCH(C5,{"N","Ś","W"},0)))</f>
        <v/>
      </c>
      <c r="E5" s="17" t="inlineStr">
        <is>
          <t>Pilot na 1 procesie, praca równoległa człowiek + AI przez 4–6 tygodni, Brama 1</t>
        </is>
      </c>
      <c r="F5" s="17" t="inlineStr">
        <is>
          <t>Dyrektor operacyjny</t>
        </is>
      </c>
    </row>
    <row r="6">
      <c r="A6" s="17" t="inlineStr">
        <is>
          <t>Naruszenie RODO / danych klientów</t>
        </is>
      </c>
      <c r="B6" s="17" t="inlineStr">
        <is>
          <t>N</t>
        </is>
      </c>
      <c r="C6" s="17" t="inlineStr">
        <is>
          <t>W</t>
        </is>
      </c>
      <c r="D6" s="13">
        <f>IF(OR(B6="",C6=""),"",(MATCH(B6,{"N","Ś","W"},0))*(MATCH(C6,{"N","Ś","W"},0)))</f>
        <v/>
      </c>
      <c r="E6" s="17" t="inlineStr">
        <is>
          <t>Aneks do umów powierzenia, minimalizacja danych, regulamin AI, DPIA</t>
        </is>
      </c>
      <c r="F6" s="17" t="inlineStr">
        <is>
          <t>Radca prawny + IOD</t>
        </is>
      </c>
    </row>
    <row r="7">
      <c r="A7" s="17" t="inlineStr">
        <is>
          <t>AI w decyzjach kadrowych (AI Act)</t>
        </is>
      </c>
      <c r="B7" s="17" t="inlineStr">
        <is>
          <t>Ś</t>
        </is>
      </c>
      <c r="C7" s="17" t="inlineStr">
        <is>
          <t>W</t>
        </is>
      </c>
      <c r="D7" s="13">
        <f>IF(OR(B7="",C7=""),"",(MATCH(B7,{"N","Ś","W"},0))*(MATCH(C7,{"N","Ś","W"},0)))</f>
        <v/>
      </c>
      <c r="E7" s="17" t="inlineStr">
        <is>
          <t>Decyzje kadrowe zostają u człowieka; AI tylko jako wsparcie informacyjne</t>
        </is>
      </c>
      <c r="F7" s="17" t="inlineStr">
        <is>
          <t>Dyrektor HR</t>
        </is>
      </c>
    </row>
    <row r="8">
      <c r="A8" s="17" t="inlineStr">
        <is>
          <t>Opór pracowników, spadek adopcji</t>
        </is>
      </c>
      <c r="B8" s="17" t="inlineStr">
        <is>
          <t>W</t>
        </is>
      </c>
      <c r="C8" s="17" t="inlineStr">
        <is>
          <t>Ś</t>
        </is>
      </c>
      <c r="D8" s="13">
        <f>IF(OR(B8="",C8=""),"",(MATCH(B8,{"N","Ś","W"},0))*(MATCH(C8,{"N","Ś","W"},0)))</f>
        <v/>
      </c>
      <c r="E8" s="17" t="inlineStr">
        <is>
          <t>Komunikacja przed pilotem, ambasadorzy, dialog z przedstawicielami pracowników, KPI adopcji</t>
        </is>
      </c>
      <c r="F8" s="17" t="inlineStr">
        <is>
          <t>Dyrektor HR</t>
        </is>
      </c>
    </row>
    <row r="9">
      <c r="A9" s="17" t="inlineStr">
        <is>
          <t>Rotacja kluczowych osób przy rosnącym pipeline</t>
        </is>
      </c>
      <c r="B9" s="17" t="inlineStr">
        <is>
          <t>Ś</t>
        </is>
      </c>
      <c r="C9" s="17" t="inlineStr">
        <is>
          <t>W</t>
        </is>
      </c>
      <c r="D9" s="13">
        <f>IF(OR(B9="",C9=""),"",(MATCH(B9,{"N","Ś","W"},0))*(MATCH(C9,{"N","Ś","W"},0)))</f>
        <v/>
      </c>
      <c r="E9" s="17" t="inlineStr">
        <is>
          <t>Ścieżki kariery, premie za transfer wiedzy, dokumentacja procesów</t>
        </is>
      </c>
      <c r="F9" s="17" t="inlineStr">
        <is>
          <t>Kierownicy działów</t>
        </is>
      </c>
    </row>
    <row r="10">
      <c r="A10" s="17" t="inlineStr">
        <is>
          <t>Klienci żądają rabatu</t>
        </is>
      </c>
      <c r="B10" s="17" t="inlineStr">
        <is>
          <t>W</t>
        </is>
      </c>
      <c r="C10" s="17" t="inlineStr">
        <is>
          <t>Ś</t>
        </is>
      </c>
      <c r="D10" s="13">
        <f>IF(OR(B10="",C10=""),"",(MATCH(B10,{"N","Ś","W"},0))*(MATCH(C10,{"N","Ś","W"},0)))</f>
        <v/>
      </c>
      <c r="E10" s="17" t="inlineStr">
        <is>
          <t>Oferta gain-sharing z mierzalnym KPI, rabat tylko warunkowy</t>
        </is>
      </c>
      <c r="F10" s="17" t="inlineStr">
        <is>
          <t>Dyrektor handlowy</t>
        </is>
      </c>
    </row>
    <row r="11">
      <c r="A11" s="17" t="inlineStr">
        <is>
          <t>Koszty AI wyższe od planu</t>
        </is>
      </c>
      <c r="B11" s="17" t="inlineStr">
        <is>
          <t>Ś</t>
        </is>
      </c>
      <c r="C11" s="17" t="inlineStr">
        <is>
          <t>Ś</t>
        </is>
      </c>
      <c r="D11" s="13">
        <f>IF(OR(B11="",C11=""),"",(MATCH(B11,{"N","Ś","W"},0))*(MATCH(C11,{"N","Ś","W"},0)))</f>
        <v/>
      </c>
      <c r="E11" s="17" t="inlineStr">
        <is>
          <t>Test wrażliwości ±30%, licencje etapami, Brama 2</t>
        </is>
      </c>
      <c r="F11" s="17" t="inlineStr">
        <is>
          <t>CFO</t>
        </is>
      </c>
    </row>
    <row r="12">
      <c r="A12" s="17" t="inlineStr">
        <is>
          <t>Błędy AI (halucynacje, złe dopasowania)</t>
        </is>
      </c>
      <c r="B12" s="17" t="inlineStr">
        <is>
          <t>Ś</t>
        </is>
      </c>
      <c r="C12" s="17" t="inlineStr">
        <is>
          <t>Ś</t>
        </is>
      </c>
      <c r="D12" s="13">
        <f>IF(OR(B12="",C12=""),"",(MATCH(B12,{"N","Ś","W"},0))*(MATCH(C12,{"N","Ś","W"},0)))</f>
        <v/>
      </c>
      <c r="E12" s="17" t="inlineStr">
        <is>
          <t>Progi eskalacji, próbkowanie, tygodniowy raport błędów</t>
        </is>
      </c>
      <c r="F12" s="17" t="inlineStr">
        <is>
          <t>Ambasador AI w dziale</t>
        </is>
      </c>
    </row>
    <row r="13">
      <c r="A13" s="17" t="inlineStr">
        <is>
          <t>Uzależnienie od jednego dostawcy</t>
        </is>
      </c>
      <c r="B13" s="17" t="inlineStr">
        <is>
          <t>N</t>
        </is>
      </c>
      <c r="C13" s="17" t="inlineStr">
        <is>
          <t>Ś</t>
        </is>
      </c>
      <c r="D13" s="13">
        <f>IF(OR(B13="",C13=""),"",(MATCH(B13,{"N","Ś","W"},0))*(MATCH(C13,{"N","Ś","W"},0)))</f>
        <v/>
      </c>
      <c r="E13" s="17" t="inlineStr">
        <is>
          <t>Klauzule wyjścia, eksport danych, standardowe integracje</t>
        </is>
      </c>
      <c r="F13" s="17" t="inlineStr">
        <is>
          <t>CIO</t>
        </is>
      </c>
    </row>
    <row r="14">
      <c r="A14" s="17" t="n"/>
      <c r="B14" s="17" t="n"/>
      <c r="C14" s="17" t="n"/>
      <c r="D14" s="13">
        <f>IF(OR(B14="",C14=""),"",(MATCH(B14,{"N","Ś","W"},0))*(MATCH(C14,{"N","Ś","W"},0)))</f>
        <v/>
      </c>
      <c r="E14" s="17" t="n"/>
      <c r="F14" s="17" t="n"/>
    </row>
    <row r="15">
      <c r="A15" s="17" t="n"/>
      <c r="B15" s="17" t="n"/>
      <c r="C15" s="17" t="n"/>
      <c r="D15" s="13">
        <f>IF(OR(B15="",C15=""),"",(MATCH(B15,{"N","Ś","W"},0))*(MATCH(C15,{"N","Ś","W"},0)))</f>
        <v/>
      </c>
      <c r="E15" s="17" t="n"/>
      <c r="F15" s="17" t="n"/>
    </row>
    <row r="16">
      <c r="A16" s="17" t="n"/>
      <c r="B16" s="17" t="n"/>
      <c r="C16" s="17" t="n"/>
      <c r="D16" s="13">
        <f>IF(OR(B16="",C16=""),"",(MATCH(B16,{"N","Ś","W"},0))*(MATCH(C16,{"N","Ś","W"},0)))</f>
        <v/>
      </c>
      <c r="E16" s="17" t="n"/>
      <c r="F16" s="17" t="n"/>
    </row>
  </sheetData>
  <conditionalFormatting sqref="D5:D16">
    <cfRule type="cellIs" priority="1" operator="greaterThanOrEqual" dxfId="0">
      <formula>6</formula>
    </cfRule>
    <cfRule type="cellIs" priority="2" operator="between" dxfId="1">
      <formula>3</formula>
      <formula>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10"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30" customWidth="1" min="3" max="3"/>
    <col width="18" customWidth="1" min="4" max="4"/>
    <col width="24" customWidth="1" min="5" max="5"/>
    <col width="18" customWidth="1" min="6" max="6"/>
  </cols>
  <sheetData>
    <row r="1">
      <c r="A1" s="1" t="inlineStr">
        <is>
          <t>Rejestr decyzji</t>
        </is>
      </c>
    </row>
    <row r="2">
      <c r="A2" s="2" t="inlineStr">
        <is>
          <t>Wypełniany na koniec każdego etapu, po rozmowie z mentorem.</t>
        </is>
      </c>
    </row>
    <row r="4" ht="32" customHeight="1">
      <c r="A4" s="16" t="inlineStr">
        <is>
          <t>Etap</t>
        </is>
      </c>
      <c r="B4" s="16" t="inlineStr">
        <is>
          <t>Decyzja</t>
        </is>
      </c>
      <c r="C4" s="16" t="inlineStr">
        <is>
          <t>Kosztem czego</t>
        </is>
      </c>
      <c r="D4" s="16" t="inlineStr">
        <is>
          <t>Kluczowa liczba</t>
        </is>
      </c>
      <c r="E4" s="16" t="inlineStr">
        <is>
          <t>Źródło (arkusz!komórka)</t>
        </is>
      </c>
      <c r="F4" s="16" t="inlineStr">
        <is>
          <t>Akceptacja mentora</t>
        </is>
      </c>
    </row>
    <row r="5">
      <c r="A5" s="4" t="inlineStr">
        <is>
          <t>E1</t>
        </is>
      </c>
      <c r="B5" s="17" t="n"/>
      <c r="C5" s="17" t="n"/>
      <c r="D5" s="17" t="n"/>
      <c r="E5" s="17" t="n"/>
      <c r="F5" s="17" t="n"/>
    </row>
    <row r="6">
      <c r="A6" s="4" t="inlineStr">
        <is>
          <t>E2</t>
        </is>
      </c>
      <c r="B6" s="17" t="n"/>
      <c r="C6" s="17" t="n"/>
      <c r="D6" s="17" t="n"/>
      <c r="E6" s="17" t="n"/>
      <c r="F6" s="17" t="n"/>
    </row>
    <row r="7">
      <c r="A7" s="4" t="inlineStr">
        <is>
          <t>E3</t>
        </is>
      </c>
      <c r="B7" s="17" t="n"/>
      <c r="C7" s="17" t="n"/>
      <c r="D7" s="17" t="n"/>
      <c r="E7" s="17" t="n"/>
      <c r="F7" s="17" t="n"/>
    </row>
    <row r="8">
      <c r="A8" s="4" t="inlineStr">
        <is>
          <t>E4</t>
        </is>
      </c>
      <c r="B8" s="17" t="n"/>
      <c r="C8" s="17" t="n"/>
      <c r="D8" s="17" t="n"/>
      <c r="E8" s="17" t="n"/>
      <c r="F8" s="17" t="n"/>
    </row>
    <row r="9">
      <c r="A9" s="4" t="inlineStr">
        <is>
          <t>E5</t>
        </is>
      </c>
      <c r="B9" s="17" t="n"/>
      <c r="C9" s="17" t="n"/>
      <c r="D9" s="17" t="n"/>
      <c r="E9" s="17" t="n"/>
      <c r="F9" s="17" t="n"/>
    </row>
    <row r="11">
      <c r="A11" s="11" t="inlineStr">
        <is>
          <t>Teza:</t>
        </is>
      </c>
      <c r="B11" s="23" t="inlineStr">
        <is>
          <t>Wybieramy … kosztem …, ponieważ … — i to działa dla zarządu, pracowników i klientów.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2026-10-16T07:30:38Z</dcterms:created>
  <dcterms:modified xmlns:dcterms="http://purl.org/dc/terms/" xmlns:xsi="http://www.w3.org/2001/XMLSchema-instance" xsi:type="dcterms:W3CDTF">2026-10-16T07:30:38Z</dcterms:modified>
</cp:coreProperties>
</file>